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ntia\Documents\Arquivos - Cintia\Estatística e Análise de Dados\2024\"/>
    </mc:Choice>
  </mc:AlternateContent>
  <xr:revisionPtr revIDLastSave="0" documentId="13_ncr:1_{BA9B0D14-B735-4A6D-BC47-0BAACA7DF43F}" xr6:coauthVersionLast="47" xr6:coauthVersionMax="47" xr10:uidLastSave="{00000000-0000-0000-0000-000000000000}"/>
  <bookViews>
    <workbookView xWindow="17745" yWindow="615" windowWidth="15375" windowHeight="7860" xr2:uid="{00000000-000D-0000-FFFF-FFFF00000000}"/>
  </bookViews>
  <sheets>
    <sheet name="India_Menu" sheetId="3" r:id="rId1"/>
    <sheet name="Planilha1" sheetId="2" r:id="rId2"/>
  </sheets>
  <definedNames>
    <definedName name="DadosExternos_1" localSheetId="0" hidden="1">India_Menu!$A$1:$M$141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3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India_Menu" description="Conexão com a consulta 'India_Menu' na pasta de trabalho." type="5" refreshedVersion="8" background="1" saveData="1">
    <dbPr connection="Provider=Microsoft.Mashup.OleDb.1;Data Source=$Workbook$;Location=India_Menu;Extended Properties=&quot;&quot;" command="SELECT * FROM [India_Menu]"/>
  </connection>
</connections>
</file>

<file path=xl/sharedStrings.xml><?xml version="1.0" encoding="utf-8"?>
<sst xmlns="http://schemas.openxmlformats.org/spreadsheetml/2006/main" count="434" uniqueCount="267">
  <si>
    <t>Menu_Category</t>
  </si>
  <si>
    <t>Menu Items</t>
  </si>
  <si>
    <t>peso</t>
  </si>
  <si>
    <t>energia</t>
  </si>
  <si>
    <t>proteina</t>
  </si>
  <si>
    <t>gord_total</t>
  </si>
  <si>
    <t>gord_saturada</t>
  </si>
  <si>
    <t>gord_trans</t>
  </si>
  <si>
    <t>colesterol</t>
  </si>
  <si>
    <t>carboidratos</t>
  </si>
  <si>
    <t>total_acucar</t>
  </si>
  <si>
    <t>Added_Sugars</t>
  </si>
  <si>
    <t>Sodium</t>
  </si>
  <si>
    <t>Quantidade Sodium OMS</t>
  </si>
  <si>
    <t>Regular Menu</t>
  </si>
  <si>
    <t>McVeggie™ Burger</t>
  </si>
  <si>
    <t>168 g</t>
  </si>
  <si>
    <t>McAloo Tikki Burger®</t>
  </si>
  <si>
    <t>146 g</t>
  </si>
  <si>
    <t>McSpicy™ Paneer Burger</t>
  </si>
  <si>
    <t>199 g</t>
  </si>
  <si>
    <t>Spicy Paneer Wrap</t>
  </si>
  <si>
    <t>250 g</t>
  </si>
  <si>
    <t>American Veg Burger</t>
  </si>
  <si>
    <t>177 g</t>
  </si>
  <si>
    <t>Veg Maharaja Mac</t>
  </si>
  <si>
    <t>306 g</t>
  </si>
  <si>
    <t>Green Chilli Aloo Naan</t>
  </si>
  <si>
    <t>132 g</t>
  </si>
  <si>
    <t>Pizza Puff</t>
  </si>
  <si>
    <t>87 g</t>
  </si>
  <si>
    <t>Mc chicken Burger</t>
  </si>
  <si>
    <t>173 g</t>
  </si>
  <si>
    <t>FILLET-O-FISH Burger</t>
  </si>
  <si>
    <t>136 g</t>
  </si>
  <si>
    <t>Mc Spicy Chicken Burger</t>
  </si>
  <si>
    <t>186 g</t>
  </si>
  <si>
    <t>Spicy Chicken Wrap</t>
  </si>
  <si>
    <t>257 g</t>
  </si>
  <si>
    <t>Chicken Maharaja Mac</t>
  </si>
  <si>
    <t>296 g</t>
  </si>
  <si>
    <t>American Chicken Burger</t>
  </si>
  <si>
    <t>165 g</t>
  </si>
  <si>
    <t>Chicken Kebab Burger</t>
  </si>
  <si>
    <t>138 g</t>
  </si>
  <si>
    <t>Green Chilli Kebab naan</t>
  </si>
  <si>
    <t>Mc Egg Masala Burger</t>
  </si>
  <si>
    <t>126.2 g</t>
  </si>
  <si>
    <t>Mc Egg Burger for Happy Meal</t>
  </si>
  <si>
    <t>123 g</t>
  </si>
  <si>
    <t>Ghee Rice with Mc Spicy Fried Chicken 1 pc</t>
  </si>
  <si>
    <t>325 g</t>
  </si>
  <si>
    <t>McSpicy Fried Chicken 1 pc</t>
  </si>
  <si>
    <t>115 g</t>
  </si>
  <si>
    <t>4 piece Chicken McNuggets</t>
  </si>
  <si>
    <t>64 g</t>
  </si>
  <si>
    <t>6 piece Chicken McNuggets</t>
  </si>
  <si>
    <t>96 g</t>
  </si>
  <si>
    <t>9 piece Chicken McNuggets</t>
  </si>
  <si>
    <t>144 g</t>
  </si>
  <si>
    <t>2 piece Chicken Strips</t>
  </si>
  <si>
    <t>58 g</t>
  </si>
  <si>
    <t>3 piece Chicken Strips</t>
  </si>
  <si>
    <t>5 piece Chicken Strips</t>
  </si>
  <si>
    <t>145 g</t>
  </si>
  <si>
    <t>Regular Fries</t>
  </si>
  <si>
    <t>77 g</t>
  </si>
  <si>
    <t>Medium Fries</t>
  </si>
  <si>
    <t>109 g</t>
  </si>
  <si>
    <t>Large Fries</t>
  </si>
  <si>
    <t>154 g</t>
  </si>
  <si>
    <t>Regular Wedges</t>
  </si>
  <si>
    <t>114 g</t>
  </si>
  <si>
    <t>Medium Wedges</t>
  </si>
  <si>
    <t>156 g</t>
  </si>
  <si>
    <t>Large Wedges</t>
  </si>
  <si>
    <t>216 g</t>
  </si>
  <si>
    <t>L1 Coffee</t>
  </si>
  <si>
    <t>200 ml</t>
  </si>
  <si>
    <t>L1 Coffee with milk</t>
  </si>
  <si>
    <t>205 ml</t>
  </si>
  <si>
    <t>Double Chocochips Muffin</t>
  </si>
  <si>
    <t>80 g</t>
  </si>
  <si>
    <t>Vanilla Chocochips Muffin</t>
  </si>
  <si>
    <t>Breakfast Menu</t>
  </si>
  <si>
    <t>Veg McMuffin</t>
  </si>
  <si>
    <t>119 g</t>
  </si>
  <si>
    <t>Double Cheese McMuffin</t>
  </si>
  <si>
    <t>100 g</t>
  </si>
  <si>
    <t>Spicy Egg McMuffin</t>
  </si>
  <si>
    <t>123.2 g</t>
  </si>
  <si>
    <t>Sausage Mc Muffin</t>
  </si>
  <si>
    <t>112 g</t>
  </si>
  <si>
    <t>Sausage Mc Muffin with egg</t>
  </si>
  <si>
    <t>157 g</t>
  </si>
  <si>
    <t>Egg McMuffin</t>
  </si>
  <si>
    <t>Hot Cake with maple syrup</t>
  </si>
  <si>
    <t>142 g</t>
  </si>
  <si>
    <t>Hash Brown</t>
  </si>
  <si>
    <t>Espresso</t>
  </si>
  <si>
    <t>26.5 ml</t>
  </si>
  <si>
    <t>Espresso Machiato</t>
  </si>
  <si>
    <t>76.5 ml</t>
  </si>
  <si>
    <t>Americano (S)</t>
  </si>
  <si>
    <t>276.5 ml</t>
  </si>
  <si>
    <t>Americano (R)</t>
  </si>
  <si>
    <t>347.5 ml</t>
  </si>
  <si>
    <t>Americano (L)</t>
  </si>
  <si>
    <t>455 ml</t>
  </si>
  <si>
    <t>Cappuccino (S)</t>
  </si>
  <si>
    <t>201.5 ml</t>
  </si>
  <si>
    <t>Cappuccino (R)</t>
  </si>
  <si>
    <t>297.5 ml</t>
  </si>
  <si>
    <t>McCafe Menu</t>
  </si>
  <si>
    <t>Cappuccino (L)</t>
  </si>
  <si>
    <t>355 ml</t>
  </si>
  <si>
    <t>Latte (S)</t>
  </si>
  <si>
    <t>236.5 ml</t>
  </si>
  <si>
    <t>Latte (R)</t>
  </si>
  <si>
    <t>307.5 ml</t>
  </si>
  <si>
    <t>Latte (L)</t>
  </si>
  <si>
    <t>375 ml</t>
  </si>
  <si>
    <t>Flat White (S)</t>
  </si>
  <si>
    <t>266.5 ml</t>
  </si>
  <si>
    <t>Flat White (R)</t>
  </si>
  <si>
    <t>Flat White (L)</t>
  </si>
  <si>
    <t>405 ml</t>
  </si>
  <si>
    <t>Mocha (S)</t>
  </si>
  <si>
    <t>242.5 ml</t>
  </si>
  <si>
    <t>Mocha (R)</t>
  </si>
  <si>
    <t>311.5 ml</t>
  </si>
  <si>
    <t>Mocha (L)</t>
  </si>
  <si>
    <t>377 ml</t>
  </si>
  <si>
    <t>Babycino</t>
  </si>
  <si>
    <t>127 ml</t>
  </si>
  <si>
    <t>Hot Chocolate (S)</t>
  </si>
  <si>
    <t>223 ml</t>
  </si>
  <si>
    <t>Hot Chocolate (R)</t>
  </si>
  <si>
    <t>259 ml</t>
  </si>
  <si>
    <t>Hot Chocolate (L)</t>
  </si>
  <si>
    <t>367 ml</t>
  </si>
  <si>
    <t>Premium Dark Hot Chocolate</t>
  </si>
  <si>
    <t>153 ml</t>
  </si>
  <si>
    <t>Double Dark Hot Chocolate</t>
  </si>
  <si>
    <t>163 ml</t>
  </si>
  <si>
    <t>English Breakfast (S)</t>
  </si>
  <si>
    <t>279 ml</t>
  </si>
  <si>
    <t>English Breakfast (R)</t>
  </si>
  <si>
    <t>330 ml</t>
  </si>
  <si>
    <t>English Breakfast (L)</t>
  </si>
  <si>
    <t>456 ml</t>
  </si>
  <si>
    <t>Moroccon Mint Green Tea (S)</t>
  </si>
  <si>
    <t>Moroccon Mint Green Tea (R)</t>
  </si>
  <si>
    <t>Moroccon Mint Green Tea (L)</t>
  </si>
  <si>
    <t>Strawberry Green Tea (S)</t>
  </si>
  <si>
    <t>Strawberry Green Tea (R)</t>
  </si>
  <si>
    <t>Strawberry Green Tea (L)</t>
  </si>
  <si>
    <t>Lemon Ice Tea</t>
  </si>
  <si>
    <t>245 ml</t>
  </si>
  <si>
    <t>Strawberry Ice Tea</t>
  </si>
  <si>
    <t>Green Apple Ice Tea</t>
  </si>
  <si>
    <t>Iced Coffee</t>
  </si>
  <si>
    <t>291.5 ml</t>
  </si>
  <si>
    <t>Cold Coffee Frappe</t>
  </si>
  <si>
    <t>296.5 ml</t>
  </si>
  <si>
    <t>Mocha Frappe</t>
  </si>
  <si>
    <t>320.5 ml</t>
  </si>
  <si>
    <t>Chocolate Oreo Frappe</t>
  </si>
  <si>
    <t>334 ml</t>
  </si>
  <si>
    <t>Strawberry Shake</t>
  </si>
  <si>
    <t>Chocolate Shake</t>
  </si>
  <si>
    <t>Mango Smoothie</t>
  </si>
  <si>
    <t>280 ml</t>
  </si>
  <si>
    <t>Mixed Berry Smoothie</t>
  </si>
  <si>
    <t>290 ml</t>
  </si>
  <si>
    <t>Raw Mango Cooler</t>
  </si>
  <si>
    <t>310 ml</t>
  </si>
  <si>
    <t>Mix Berry Cooler</t>
  </si>
  <si>
    <t>Sweet Lime Beverage</t>
  </si>
  <si>
    <t>Iced Americano</t>
  </si>
  <si>
    <t>American Mud Pie Shake</t>
  </si>
  <si>
    <t>317 ml</t>
  </si>
  <si>
    <t>Soft serve cone</t>
  </si>
  <si>
    <t>81.29 g</t>
  </si>
  <si>
    <t>McSwirl ChocoDip</t>
  </si>
  <si>
    <t>93.29 g</t>
  </si>
  <si>
    <t>Regular Soft Serve: Hot Fudge</t>
  </si>
  <si>
    <t>91.79 g</t>
  </si>
  <si>
    <t>Medium Soft Serve: Hot Fudge</t>
  </si>
  <si>
    <t>132.08 g</t>
  </si>
  <si>
    <t>Regular Soft Serve: Strawberry</t>
  </si>
  <si>
    <t>Medium Soft Serve: Strawberry</t>
  </si>
  <si>
    <t>Regular Soft Serve: Brownie with Hot Fudge</t>
  </si>
  <si>
    <t>110.79 g</t>
  </si>
  <si>
    <t>Medium Soft Serve: Brownie with Hot Fudge</t>
  </si>
  <si>
    <t>155.08 g</t>
  </si>
  <si>
    <t>Regular Blackforest</t>
  </si>
  <si>
    <t>125.79 g</t>
  </si>
  <si>
    <t>Medium Blackforest</t>
  </si>
  <si>
    <t>200.08 g</t>
  </si>
  <si>
    <t>Desserts Menu</t>
  </si>
  <si>
    <t>Small McFlurry - Oreo</t>
  </si>
  <si>
    <t>86.79 g</t>
  </si>
  <si>
    <t>Regular McFlurry - Oreo</t>
  </si>
  <si>
    <t>147.38 g</t>
  </si>
  <si>
    <t>Gourmet Menu</t>
  </si>
  <si>
    <t>American Triple Cheese Chicken</t>
  </si>
  <si>
    <t>195 g</t>
  </si>
  <si>
    <t>American Triple Cheese Veg</t>
  </si>
  <si>
    <t>207 g</t>
  </si>
  <si>
    <t>Cheese Lava Burger</t>
  </si>
  <si>
    <t>240 g</t>
  </si>
  <si>
    <t>Chicken Cheese Lava Burger</t>
  </si>
  <si>
    <t>307 g</t>
  </si>
  <si>
    <t>Chunky Chipotle American Burger Chicken</t>
  </si>
  <si>
    <t>301 g</t>
  </si>
  <si>
    <t>McSpicy Premium Chicken Burger</t>
  </si>
  <si>
    <t>264.5 g</t>
  </si>
  <si>
    <t>McSpicy Premium Veg Burger</t>
  </si>
  <si>
    <t>212.5 g</t>
  </si>
  <si>
    <t>Piri piri Mc Spicy Veg Burger</t>
  </si>
  <si>
    <t>211 g</t>
  </si>
  <si>
    <t>Cheesy Veg Nuggets (6pc)</t>
  </si>
  <si>
    <t>90 g</t>
  </si>
  <si>
    <t>Cheesy Veg Nuggets (9pc)</t>
  </si>
  <si>
    <t>135 g</t>
  </si>
  <si>
    <t>Beverages Menu</t>
  </si>
  <si>
    <t>Small Coca-Cola</t>
  </si>
  <si>
    <t>299 ml</t>
  </si>
  <si>
    <t>Medium Coca-Cola</t>
  </si>
  <si>
    <t>394 ml</t>
  </si>
  <si>
    <t>Large Coca-Cola</t>
  </si>
  <si>
    <t>544 ml</t>
  </si>
  <si>
    <t>Small Fanta Oragne</t>
  </si>
  <si>
    <t>Medium Fanta Orange</t>
  </si>
  <si>
    <t>Large Fanta Oragne</t>
  </si>
  <si>
    <t>Small Thums-up</t>
  </si>
  <si>
    <t>Medium Thums-up</t>
  </si>
  <si>
    <t>Large Thums-up</t>
  </si>
  <si>
    <t>Small Sprite</t>
  </si>
  <si>
    <t>Medium Sprite</t>
  </si>
  <si>
    <t>Large Sprite</t>
  </si>
  <si>
    <t>Coke Float</t>
  </si>
  <si>
    <t>286.79 ml</t>
  </si>
  <si>
    <t>Fanta Float</t>
  </si>
  <si>
    <t>Sprite Float</t>
  </si>
  <si>
    <t>Coke Zero Can</t>
  </si>
  <si>
    <t>Vedica Natural Mineral Water</t>
  </si>
  <si>
    <t>500 ml</t>
  </si>
  <si>
    <t>Condiments Menu</t>
  </si>
  <si>
    <t>Mustard diping sauce</t>
  </si>
  <si>
    <t>25 g</t>
  </si>
  <si>
    <t>BBQ diping sauce</t>
  </si>
  <si>
    <t>Chilli Sauce</t>
  </si>
  <si>
    <t>10 g</t>
  </si>
  <si>
    <t>Piri Piri Mix</t>
  </si>
  <si>
    <t>5 g</t>
  </si>
  <si>
    <t>Tomato Ketchup Sachets</t>
  </si>
  <si>
    <t>8 g</t>
  </si>
  <si>
    <t>Maple Syrup</t>
  </si>
  <si>
    <t>30 g</t>
  </si>
  <si>
    <t>Cheese Slice</t>
  </si>
  <si>
    <t>14 g</t>
  </si>
  <si>
    <t>Sweet Corn</t>
  </si>
  <si>
    <t>40 g</t>
  </si>
  <si>
    <t>Mixed Fruit Beverage</t>
  </si>
  <si>
    <t>180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</si>
</sst>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000-000000000000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Menu Category" tableColumnId="1"/>
      <queryTableField id="2" name="Menu Items" tableColumnId="2"/>
      <queryTableField id="3" name="Per Serve Size" tableColumnId="3"/>
      <queryTableField id="4" name="Energy (kCal)" tableColumnId="4"/>
      <queryTableField id="5" name="Protein (g)" tableColumnId="5"/>
      <queryTableField id="6" name="Total fat (g)" tableColumnId="6"/>
      <queryTableField id="7" name="Sat Fat (g)" tableColumnId="7"/>
      <queryTableField id="8" name="Trans fat (g)" tableColumnId="8"/>
      <queryTableField id="9" name="Cholesterols (mg)" tableColumnId="9"/>
      <queryTableField id="10" name="Total carbohydrate (g)" tableColumnId="10"/>
      <queryTableField id="11" name="Total Sugars (g)" tableColumnId="11"/>
      <queryTableField id="12" name="Added Sugars (g)" tableColumnId="12"/>
      <queryTableField id="13" name="Sodium (mg)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ia_Menu" displayName="India_Menu" ref="A1:N141" tableType="queryTable" totalsRowShown="0">
  <autoFilter ref="A1:N141" xr:uid="{00000000-0009-0000-0100-000001000000}"/>
  <tableColumns count="14">
    <tableColumn id="1" xr3:uid="{00000000-0010-0000-0000-000001000000}" uniqueName="1" name="Menu_Category" queryTableFieldId="1" dataDxfId="3"/>
    <tableColumn id="2" xr3:uid="{00000000-0010-0000-0000-000002000000}" uniqueName="2" name="Menu Items" queryTableFieldId="2" dataDxfId="2"/>
    <tableColumn id="3" xr3:uid="{00000000-0010-0000-0000-000003000000}" uniqueName="3" name="peso" queryTableFieldId="3" dataDxfId="1"/>
    <tableColumn id="4" xr3:uid="{00000000-0010-0000-0000-000004000000}" uniqueName="4" name="energia" queryTableFieldId="4"/>
    <tableColumn id="5" xr3:uid="{00000000-0010-0000-0000-000005000000}" uniqueName="5" name="proteina" queryTableFieldId="5"/>
    <tableColumn id="6" xr3:uid="{00000000-0010-0000-0000-000006000000}" uniqueName="6" name="gord_total" queryTableFieldId="6"/>
    <tableColumn id="7" xr3:uid="{00000000-0010-0000-0000-000007000000}" uniqueName="7" name="gord_saturada" queryTableFieldId="7"/>
    <tableColumn id="8" xr3:uid="{00000000-0010-0000-0000-000008000000}" uniqueName="8" name="gord_trans" queryTableFieldId="8"/>
    <tableColumn id="9" xr3:uid="{00000000-0010-0000-0000-000009000000}" uniqueName="9" name="colesterol" queryTableFieldId="9"/>
    <tableColumn id="10" xr3:uid="{00000000-0010-0000-0000-00000A000000}" uniqueName="10" name="carboidratos" queryTableFieldId="10"/>
    <tableColumn id="11" xr3:uid="{00000000-0010-0000-0000-00000B000000}" uniqueName="11" name="total_acucar" queryTableFieldId="11"/>
    <tableColumn id="12" xr3:uid="{00000000-0010-0000-0000-00000C000000}" uniqueName="12" name="Added_Sugars" queryTableFieldId="12"/>
    <tableColumn id="13" xr3:uid="{00000000-0010-0000-0000-00000D000000}" uniqueName="13" name="Sodium" queryTableFieldId="13"/>
    <tableColumn id="14" xr3:uid="{87A5105C-091F-4BDF-A2DF-9A8CB48C34F6}" uniqueName="14" name="Quantidade Sodium OMS" queryTableFieldId="14" dataDxfId="0">
      <calculatedColumnFormula>IF(India_Menu[[#This Row],[Sodium]]&lt;=2000,"aceitavel","nao aceitavel")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1"/>
  <sheetViews>
    <sheetView tabSelected="1" topLeftCell="G1" workbookViewId="0">
      <selection activeCell="P9" sqref="P9"/>
    </sheetView>
  </sheetViews>
  <sheetFormatPr defaultColWidth="8.85546875" defaultRowHeight="15"/>
  <cols>
    <col min="1" max="1" width="16.28515625" bestFit="1" customWidth="1"/>
    <col min="2" max="2" width="37.42578125" bestFit="1" customWidth="1"/>
    <col min="3" max="3" width="14.7109375" bestFit="1" customWidth="1"/>
    <col min="4" max="4" width="14.28515625" bestFit="1" customWidth="1"/>
    <col min="5" max="5" width="12.140625" bestFit="1" customWidth="1"/>
    <col min="6" max="6" width="13" bestFit="1" customWidth="1"/>
    <col min="7" max="7" width="11.7109375" bestFit="1" customWidth="1"/>
    <col min="8" max="8" width="13.28515625" bestFit="1" customWidth="1"/>
    <col min="9" max="9" width="18" bestFit="1" customWidth="1"/>
    <col min="10" max="10" width="22.28515625" bestFit="1" customWidth="1"/>
    <col min="11" max="11" width="16.28515625" bestFit="1" customWidth="1"/>
    <col min="12" max="12" width="17.7109375" bestFit="1" customWidth="1"/>
    <col min="13" max="13" width="14.140625" bestFit="1" customWidth="1"/>
    <col min="14" max="14" width="29.42578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40205</v>
      </c>
      <c r="E2">
        <v>1024</v>
      </c>
      <c r="F2">
        <v>1383</v>
      </c>
      <c r="G2">
        <v>534</v>
      </c>
      <c r="H2">
        <v>16</v>
      </c>
      <c r="I2">
        <v>249</v>
      </c>
      <c r="J2">
        <v>5654</v>
      </c>
      <c r="K2">
        <v>79</v>
      </c>
      <c r="L2">
        <v>449</v>
      </c>
      <c r="M2">
        <v>70613</v>
      </c>
      <c r="N2" t="str">
        <f>IF(India_Menu[[#This Row],[Sodium]]&lt;=2000,"aceitavel","nao aceitavel")</f>
        <v>nao aceitavel</v>
      </c>
    </row>
    <row r="3" spans="1:14">
      <c r="A3" t="s">
        <v>14</v>
      </c>
      <c r="B3" t="s">
        <v>17</v>
      </c>
      <c r="C3" t="s">
        <v>18</v>
      </c>
      <c r="D3">
        <v>33952</v>
      </c>
      <c r="E3">
        <v>85</v>
      </c>
      <c r="F3">
        <v>1131</v>
      </c>
      <c r="G3">
        <v>427</v>
      </c>
      <c r="H3">
        <v>2</v>
      </c>
      <c r="I3">
        <v>147</v>
      </c>
      <c r="J3">
        <v>5027</v>
      </c>
      <c r="K3">
        <v>705</v>
      </c>
      <c r="L3">
        <v>407</v>
      </c>
      <c r="M3">
        <v>54534</v>
      </c>
      <c r="N3" t="str">
        <f>IF(India_Menu[[#This Row],[Sodium]]&lt;=2000,"aceitavel","nao aceitavel")</f>
        <v>nao aceitavel</v>
      </c>
    </row>
    <row r="4" spans="1:14">
      <c r="A4" t="s">
        <v>14</v>
      </c>
      <c r="B4" t="s">
        <v>19</v>
      </c>
      <c r="C4" t="s">
        <v>20</v>
      </c>
      <c r="D4">
        <v>65276</v>
      </c>
      <c r="E4">
        <v>2029</v>
      </c>
      <c r="F4">
        <v>3945</v>
      </c>
      <c r="G4">
        <v>1712</v>
      </c>
      <c r="H4">
        <v>18</v>
      </c>
      <c r="I4">
        <v>2185</v>
      </c>
      <c r="J4">
        <v>5233</v>
      </c>
      <c r="K4">
        <v>835</v>
      </c>
      <c r="L4">
        <v>527</v>
      </c>
      <c r="M4">
        <v>107458</v>
      </c>
      <c r="N4" t="str">
        <f>IF(India_Menu[[#This Row],[Sodium]]&lt;=2000,"aceitavel","nao aceitavel")</f>
        <v>nao aceitavel</v>
      </c>
    </row>
    <row r="5" spans="1:14">
      <c r="A5" t="s">
        <v>14</v>
      </c>
      <c r="B5" t="s">
        <v>21</v>
      </c>
      <c r="C5" t="s">
        <v>22</v>
      </c>
      <c r="D5">
        <v>67468</v>
      </c>
      <c r="E5">
        <v>2096</v>
      </c>
      <c r="F5">
        <v>391</v>
      </c>
      <c r="G5">
        <v>1973</v>
      </c>
      <c r="H5">
        <v>26</v>
      </c>
      <c r="I5">
        <v>4093</v>
      </c>
      <c r="J5">
        <v>5927</v>
      </c>
      <c r="K5">
        <v>35</v>
      </c>
      <c r="L5">
        <v>108</v>
      </c>
      <c r="M5">
        <v>108746</v>
      </c>
      <c r="N5" t="str">
        <f>IF(India_Menu[[#This Row],[Sodium]]&lt;=2000,"aceitavel","nao aceitavel")</f>
        <v>nao aceitavel</v>
      </c>
    </row>
    <row r="6" spans="1:14">
      <c r="A6" t="s">
        <v>14</v>
      </c>
      <c r="B6" t="s">
        <v>23</v>
      </c>
      <c r="C6" t="s">
        <v>24</v>
      </c>
      <c r="D6">
        <v>51217</v>
      </c>
      <c r="E6">
        <v>153</v>
      </c>
      <c r="F6">
        <v>2345</v>
      </c>
      <c r="G6">
        <v>1051</v>
      </c>
      <c r="H6">
        <v>17</v>
      </c>
      <c r="I6">
        <v>2524</v>
      </c>
      <c r="J6">
        <v>5696</v>
      </c>
      <c r="K6">
        <v>785</v>
      </c>
      <c r="L6">
        <v>476</v>
      </c>
      <c r="M6">
        <v>105124</v>
      </c>
      <c r="N6" t="str">
        <f>IF(India_Menu[[#This Row],[Sodium]]&lt;=2000,"aceitavel","nao aceitavel")</f>
        <v>nao aceitavel</v>
      </c>
    </row>
    <row r="7" spans="1:14">
      <c r="A7" t="s">
        <v>14</v>
      </c>
      <c r="B7" t="s">
        <v>25</v>
      </c>
      <c r="C7" t="s">
        <v>26</v>
      </c>
      <c r="D7">
        <v>83267</v>
      </c>
      <c r="E7">
        <v>2417</v>
      </c>
      <c r="F7">
        <v>3794</v>
      </c>
      <c r="G7">
        <v>1683</v>
      </c>
      <c r="H7">
        <v>28</v>
      </c>
      <c r="I7">
        <v>3619</v>
      </c>
      <c r="J7">
        <v>9384</v>
      </c>
      <c r="K7">
        <v>1152</v>
      </c>
      <c r="L7">
        <v>692</v>
      </c>
      <c r="M7">
        <v>152922</v>
      </c>
      <c r="N7" t="str">
        <f>IF(India_Menu[[#This Row],[Sodium]]&lt;=2000,"aceitavel","nao aceitavel")</f>
        <v>nao aceitavel</v>
      </c>
    </row>
    <row r="8" spans="1:14">
      <c r="A8" t="s">
        <v>14</v>
      </c>
      <c r="B8" t="s">
        <v>27</v>
      </c>
      <c r="C8" t="s">
        <v>28</v>
      </c>
      <c r="D8">
        <v>35609</v>
      </c>
      <c r="E8">
        <v>791</v>
      </c>
      <c r="F8">
        <v>1508</v>
      </c>
      <c r="G8">
        <v>611</v>
      </c>
      <c r="H8">
        <v>24</v>
      </c>
      <c r="I8">
        <v>945</v>
      </c>
      <c r="J8">
        <v>4636</v>
      </c>
      <c r="K8">
        <v>453</v>
      </c>
      <c r="L8">
        <v>115</v>
      </c>
      <c r="M8">
        <v>5796</v>
      </c>
      <c r="N8" t="str">
        <f>IF(India_Menu[[#This Row],[Sodium]]&lt;=2000,"aceitavel","nao aceitavel")</f>
        <v>nao aceitavel</v>
      </c>
    </row>
    <row r="9" spans="1:14">
      <c r="A9" t="s">
        <v>14</v>
      </c>
      <c r="B9" t="s">
        <v>29</v>
      </c>
      <c r="C9" t="s">
        <v>30</v>
      </c>
      <c r="D9">
        <v>22821</v>
      </c>
      <c r="E9">
        <v>545</v>
      </c>
      <c r="F9">
        <v>1144</v>
      </c>
      <c r="G9">
        <v>572</v>
      </c>
      <c r="H9">
        <v>9</v>
      </c>
      <c r="I9">
        <v>517</v>
      </c>
      <c r="J9">
        <v>2479</v>
      </c>
      <c r="K9">
        <v>273</v>
      </c>
      <c r="L9">
        <v>35</v>
      </c>
      <c r="M9">
        <v>39074</v>
      </c>
      <c r="N9" t="str">
        <f>IF(India_Menu[[#This Row],[Sodium]]&lt;=2000,"aceitavel","nao aceitavel")</f>
        <v>nao aceitavel</v>
      </c>
    </row>
    <row r="10" spans="1:14">
      <c r="A10" t="s">
        <v>14</v>
      </c>
      <c r="B10" t="s">
        <v>31</v>
      </c>
      <c r="C10" t="s">
        <v>32</v>
      </c>
      <c r="D10">
        <v>4008</v>
      </c>
      <c r="E10">
        <v>1566</v>
      </c>
      <c r="F10">
        <v>157</v>
      </c>
      <c r="G10">
        <v>547</v>
      </c>
      <c r="H10">
        <v>16</v>
      </c>
      <c r="I10">
        <v>3117</v>
      </c>
      <c r="J10">
        <v>4798</v>
      </c>
      <c r="K10">
        <v>553</v>
      </c>
      <c r="L10">
        <v>449</v>
      </c>
      <c r="M10">
        <v>76633</v>
      </c>
      <c r="N10" t="str">
        <f>IF(India_Menu[[#This Row],[Sodium]]&lt;=2000,"aceitavel","nao aceitavel")</f>
        <v>nao aceitavel</v>
      </c>
    </row>
    <row r="11" spans="1:14">
      <c r="A11" t="s">
        <v>14</v>
      </c>
      <c r="B11" t="s">
        <v>33</v>
      </c>
      <c r="C11" t="s">
        <v>34</v>
      </c>
      <c r="D11">
        <v>34811</v>
      </c>
      <c r="E11">
        <v>1544</v>
      </c>
      <c r="F11">
        <v>1416</v>
      </c>
      <c r="G11">
        <v>579</v>
      </c>
      <c r="H11">
        <v>21</v>
      </c>
      <c r="I11">
        <v>3283</v>
      </c>
      <c r="J11">
        <v>3885</v>
      </c>
      <c r="K11">
        <v>558</v>
      </c>
      <c r="L11">
        <v>354</v>
      </c>
      <c r="M11">
        <v>53054</v>
      </c>
      <c r="N11" t="str">
        <f>IF(India_Menu[[#This Row],[Sodium]]&lt;=2000,"aceitavel","nao aceitavel")</f>
        <v>nao aceitavel</v>
      </c>
    </row>
    <row r="12" spans="1:14">
      <c r="A12" t="s">
        <v>14</v>
      </c>
      <c r="B12" t="s">
        <v>35</v>
      </c>
      <c r="C12" t="s">
        <v>36</v>
      </c>
      <c r="D12">
        <v>45192</v>
      </c>
      <c r="E12">
        <v>2146</v>
      </c>
      <c r="F12">
        <v>1936</v>
      </c>
      <c r="G12">
        <v>763</v>
      </c>
      <c r="H12">
        <v>18</v>
      </c>
      <c r="I12">
        <v>6604</v>
      </c>
      <c r="J12">
        <v>4608</v>
      </c>
      <c r="K12">
        <v>588</v>
      </c>
      <c r="L12">
        <v>449</v>
      </c>
      <c r="M12">
        <v>92852</v>
      </c>
      <c r="N12" t="str">
        <f>IF(India_Menu[[#This Row],[Sodium]]&lt;=2000,"aceitavel","nao aceitavel")</f>
        <v>nao aceitavel</v>
      </c>
    </row>
    <row r="13" spans="1:14">
      <c r="A13" t="s">
        <v>14</v>
      </c>
      <c r="B13" t="s">
        <v>37</v>
      </c>
      <c r="C13" t="s">
        <v>38</v>
      </c>
      <c r="D13">
        <v>56719</v>
      </c>
      <c r="E13">
        <v>2374</v>
      </c>
      <c r="F13">
        <v>2689</v>
      </c>
      <c r="G13">
        <v>1254</v>
      </c>
      <c r="H13">
        <v>27</v>
      </c>
      <c r="I13">
        <v>8763</v>
      </c>
      <c r="J13">
        <v>5706</v>
      </c>
      <c r="K13">
        <v>252</v>
      </c>
      <c r="L13">
        <v>108</v>
      </c>
      <c r="M13">
        <v>115238</v>
      </c>
      <c r="N13" t="str">
        <f>IF(India_Menu[[#This Row],[Sodium]]&lt;=2000,"aceitavel","nao aceitavel")</f>
        <v>nao aceitavel</v>
      </c>
    </row>
    <row r="14" spans="1:14">
      <c r="A14" t="s">
        <v>14</v>
      </c>
      <c r="B14" t="s">
        <v>39</v>
      </c>
      <c r="C14" t="s">
        <v>40</v>
      </c>
      <c r="D14">
        <v>68912</v>
      </c>
      <c r="E14">
        <v>340</v>
      </c>
      <c r="F14">
        <v>3669</v>
      </c>
      <c r="G14">
        <v>1033</v>
      </c>
      <c r="H14">
        <v>25</v>
      </c>
      <c r="I14">
        <v>8149</v>
      </c>
      <c r="J14">
        <v>5539</v>
      </c>
      <c r="K14">
        <v>892</v>
      </c>
      <c r="L14">
        <v>614</v>
      </c>
      <c r="M14">
        <v>185471</v>
      </c>
      <c r="N14" t="str">
        <f>IF(India_Menu[[#This Row],[Sodium]]&lt;=2000,"aceitavel","nao aceitavel")</f>
        <v>nao aceitavel</v>
      </c>
    </row>
    <row r="15" spans="1:14">
      <c r="A15" t="s">
        <v>14</v>
      </c>
      <c r="B15" t="s">
        <v>41</v>
      </c>
      <c r="C15" t="s">
        <v>42</v>
      </c>
      <c r="D15">
        <v>44695</v>
      </c>
      <c r="E15">
        <v>2029</v>
      </c>
      <c r="F15">
        <v>2294</v>
      </c>
      <c r="G15">
        <v>728</v>
      </c>
      <c r="H15">
        <v>15</v>
      </c>
      <c r="I15">
        <v>4763</v>
      </c>
      <c r="J15">
        <v>3854</v>
      </c>
      <c r="K15">
        <v>748</v>
      </c>
      <c r="L15">
        <v>476</v>
      </c>
      <c r="M15">
        <v>11323</v>
      </c>
      <c r="N15" t="str">
        <f>IF(India_Menu[[#This Row],[Sodium]]&lt;=2000,"aceitavel","nao aceitavel")</f>
        <v>nao aceitavel</v>
      </c>
    </row>
    <row r="16" spans="1:14">
      <c r="A16" t="s">
        <v>14</v>
      </c>
      <c r="B16" t="s">
        <v>43</v>
      </c>
      <c r="C16" t="s">
        <v>44</v>
      </c>
      <c r="D16">
        <v>35705</v>
      </c>
      <c r="E16">
        <v>864</v>
      </c>
      <c r="F16">
        <v>1402</v>
      </c>
      <c r="G16">
        <v>484</v>
      </c>
      <c r="H16">
        <v>13</v>
      </c>
      <c r="I16">
        <v>151</v>
      </c>
      <c r="J16">
        <v>479</v>
      </c>
      <c r="K16">
        <v>508</v>
      </c>
      <c r="L16">
        <v>349</v>
      </c>
      <c r="M16">
        <v>54879</v>
      </c>
      <c r="N16" t="str">
        <f>IF(India_Menu[[#This Row],[Sodium]]&lt;=2000,"aceitavel","nao aceitavel")</f>
        <v>nao aceitavel</v>
      </c>
    </row>
    <row r="17" spans="1:14">
      <c r="A17" t="s">
        <v>14</v>
      </c>
      <c r="B17" t="s">
        <v>45</v>
      </c>
      <c r="C17" t="s">
        <v>44</v>
      </c>
      <c r="D17">
        <v>23095</v>
      </c>
      <c r="E17">
        <v>567</v>
      </c>
      <c r="F17">
        <v>932</v>
      </c>
      <c r="G17">
        <v>327</v>
      </c>
      <c r="H17">
        <v>19</v>
      </c>
      <c r="I17">
        <v>874</v>
      </c>
      <c r="J17">
        <v>3106</v>
      </c>
      <c r="K17">
        <v>364</v>
      </c>
      <c r="L17">
        <v>115</v>
      </c>
      <c r="M17">
        <v>41078</v>
      </c>
      <c r="N17" t="str">
        <f>IF(India_Menu[[#This Row],[Sodium]]&lt;=2000,"aceitavel","nao aceitavel")</f>
        <v>nao aceitavel</v>
      </c>
    </row>
    <row r="18" spans="1:14">
      <c r="A18" t="s">
        <v>14</v>
      </c>
      <c r="B18" t="s">
        <v>46</v>
      </c>
      <c r="C18" t="s">
        <v>47</v>
      </c>
      <c r="D18">
        <v>29042</v>
      </c>
      <c r="E18">
        <v>1245</v>
      </c>
      <c r="F18">
        <v>1227</v>
      </c>
      <c r="G18">
        <v>364</v>
      </c>
      <c r="H18">
        <v>11</v>
      </c>
      <c r="I18">
        <v>21309</v>
      </c>
      <c r="J18">
        <v>3289</v>
      </c>
      <c r="K18">
        <v>489</v>
      </c>
      <c r="L18">
        <v>364</v>
      </c>
      <c r="M18">
        <v>75791</v>
      </c>
      <c r="N18" t="str">
        <f>IF(India_Menu[[#This Row],[Sodium]]&lt;=2000,"aceitavel","nao aceitavel")</f>
        <v>nao aceitavel</v>
      </c>
    </row>
    <row r="19" spans="1:14">
      <c r="A19" t="s">
        <v>14</v>
      </c>
      <c r="B19" t="s">
        <v>48</v>
      </c>
      <c r="C19" t="s">
        <v>49</v>
      </c>
      <c r="D19">
        <v>28298</v>
      </c>
      <c r="E19">
        <v>1229</v>
      </c>
      <c r="F19">
        <v>1221</v>
      </c>
      <c r="G19">
        <v>363</v>
      </c>
      <c r="H19">
        <v>11</v>
      </c>
      <c r="I19">
        <v>21309</v>
      </c>
      <c r="J19">
        <v>3132</v>
      </c>
      <c r="K19">
        <v>466</v>
      </c>
      <c r="L19">
        <v>364</v>
      </c>
      <c r="M19">
        <v>39941</v>
      </c>
      <c r="N19" t="str">
        <f>IF(India_Menu[[#This Row],[Sodium]]&lt;=2000,"aceitavel","nao aceitavel")</f>
        <v>nao aceitavel</v>
      </c>
    </row>
    <row r="20" spans="1:14">
      <c r="A20" t="s">
        <v>14</v>
      </c>
      <c r="B20" t="s">
        <v>50</v>
      </c>
      <c r="C20" t="s">
        <v>51</v>
      </c>
      <c r="D20">
        <v>7203</v>
      </c>
      <c r="E20">
        <v>2691</v>
      </c>
      <c r="F20">
        <v>292</v>
      </c>
      <c r="G20">
        <v>508</v>
      </c>
      <c r="H20">
        <v>3</v>
      </c>
      <c r="I20">
        <v>3132</v>
      </c>
      <c r="J20">
        <v>7747</v>
      </c>
      <c r="K20">
        <v>328</v>
      </c>
      <c r="L20">
        <v>35</v>
      </c>
      <c r="M20">
        <v>239949</v>
      </c>
      <c r="N20" t="str">
        <f>IF(India_Menu[[#This Row],[Sodium]]&lt;=2000,"aceitavel","nao aceitavel")</f>
        <v>nao aceitavel</v>
      </c>
    </row>
    <row r="21" spans="1:14">
      <c r="A21" t="s">
        <v>14</v>
      </c>
      <c r="B21" t="s">
        <v>52</v>
      </c>
      <c r="C21" t="s">
        <v>53</v>
      </c>
      <c r="D21">
        <v>24876</v>
      </c>
      <c r="E21">
        <v>1733</v>
      </c>
      <c r="F21">
        <v>1429</v>
      </c>
      <c r="G21">
        <v>282</v>
      </c>
      <c r="H21">
        <v>6</v>
      </c>
      <c r="I21">
        <v>3111</v>
      </c>
      <c r="J21">
        <v>127</v>
      </c>
      <c r="K21">
        <v>58</v>
      </c>
      <c r="L21">
        <v>0</v>
      </c>
      <c r="M21">
        <v>87389</v>
      </c>
      <c r="N21" t="str">
        <f>IF(India_Menu[[#This Row],[Sodium]]&lt;=2000,"aceitavel","nao aceitavel")</f>
        <v>nao aceitavel</v>
      </c>
    </row>
    <row r="22" spans="1:14">
      <c r="A22" t="s">
        <v>14</v>
      </c>
      <c r="B22" t="s">
        <v>54</v>
      </c>
      <c r="C22" t="s">
        <v>55</v>
      </c>
      <c r="D22">
        <v>16968</v>
      </c>
      <c r="E22">
        <v>1003</v>
      </c>
      <c r="F22">
        <v>954</v>
      </c>
      <c r="G22">
        <v>445</v>
      </c>
      <c r="H22">
        <v>6</v>
      </c>
      <c r="I22">
        <v>2466</v>
      </c>
      <c r="J22">
        <v>105</v>
      </c>
      <c r="K22">
        <v>32</v>
      </c>
      <c r="L22">
        <v>0</v>
      </c>
      <c r="M22">
        <v>31325</v>
      </c>
      <c r="N22" t="str">
        <f>IF(India_Menu[[#This Row],[Sodium]]&lt;=2000,"aceitavel","nao aceitavel")</f>
        <v>nao aceitavel</v>
      </c>
    </row>
    <row r="23" spans="1:14">
      <c r="A23" t="s">
        <v>14</v>
      </c>
      <c r="B23" t="s">
        <v>56</v>
      </c>
      <c r="C23" t="s">
        <v>57</v>
      </c>
      <c r="D23">
        <v>25452</v>
      </c>
      <c r="E23">
        <v>1504</v>
      </c>
      <c r="F23">
        <v>143</v>
      </c>
      <c r="G23">
        <v>668</v>
      </c>
      <c r="H23">
        <v>1</v>
      </c>
      <c r="I23">
        <v>3699</v>
      </c>
      <c r="J23">
        <v>1574</v>
      </c>
      <c r="K23">
        <v>48</v>
      </c>
      <c r="L23">
        <v>0</v>
      </c>
      <c r="M23">
        <v>46987</v>
      </c>
      <c r="N23" t="str">
        <f>IF(India_Menu[[#This Row],[Sodium]]&lt;=2000,"aceitavel","nao aceitavel")</f>
        <v>nao aceitavel</v>
      </c>
    </row>
    <row r="24" spans="1:14">
      <c r="A24" t="s">
        <v>14</v>
      </c>
      <c r="B24" t="s">
        <v>58</v>
      </c>
      <c r="C24" t="s">
        <v>59</v>
      </c>
      <c r="D24">
        <v>38177</v>
      </c>
      <c r="E24">
        <v>2256</v>
      </c>
      <c r="F24">
        <v>2146</v>
      </c>
      <c r="G24">
        <v>1002</v>
      </c>
      <c r="H24">
        <v>14</v>
      </c>
      <c r="I24">
        <v>5548</v>
      </c>
      <c r="J24">
        <v>2362</v>
      </c>
      <c r="K24">
        <v>72</v>
      </c>
      <c r="L24">
        <v>0</v>
      </c>
      <c r="M24">
        <v>70481</v>
      </c>
      <c r="N24" t="str">
        <f>IF(India_Menu[[#This Row],[Sodium]]&lt;=2000,"aceitavel","nao aceitavel")</f>
        <v>nao aceitavel</v>
      </c>
    </row>
    <row r="25" spans="1:14">
      <c r="A25" t="s">
        <v>14</v>
      </c>
      <c r="B25" t="s">
        <v>60</v>
      </c>
      <c r="C25" t="s">
        <v>61</v>
      </c>
      <c r="D25">
        <v>16444</v>
      </c>
      <c r="E25">
        <v>1017</v>
      </c>
      <c r="F25">
        <v>1238</v>
      </c>
      <c r="G25">
        <v>1141</v>
      </c>
      <c r="H25">
        <v>6</v>
      </c>
      <c r="I25">
        <v>301</v>
      </c>
      <c r="J25">
        <v>268</v>
      </c>
      <c r="K25">
        <v>29</v>
      </c>
      <c r="L25">
        <v>0</v>
      </c>
      <c r="M25">
        <v>47722</v>
      </c>
      <c r="N25" t="str">
        <f>IF(India_Menu[[#This Row],[Sodium]]&lt;=2000,"aceitavel","nao aceitavel")</f>
        <v>nao aceitavel</v>
      </c>
    </row>
    <row r="26" spans="1:14">
      <c r="A26" t="s">
        <v>14</v>
      </c>
      <c r="B26" t="s">
        <v>62</v>
      </c>
      <c r="C26" t="s">
        <v>30</v>
      </c>
      <c r="D26">
        <v>24665</v>
      </c>
      <c r="E26">
        <v>1526</v>
      </c>
      <c r="F26">
        <v>1857</v>
      </c>
      <c r="G26">
        <v>1712</v>
      </c>
      <c r="H26">
        <v>9</v>
      </c>
      <c r="I26">
        <v>4515</v>
      </c>
      <c r="J26">
        <v>402</v>
      </c>
      <c r="K26">
        <v>44</v>
      </c>
      <c r="L26">
        <v>0</v>
      </c>
      <c r="M26">
        <v>71583</v>
      </c>
      <c r="N26" t="str">
        <f>IF(India_Menu[[#This Row],[Sodium]]&lt;=2000,"aceitavel","nao aceitavel")</f>
        <v>nao aceitavel</v>
      </c>
    </row>
    <row r="27" spans="1:14">
      <c r="A27" t="s">
        <v>14</v>
      </c>
      <c r="B27" t="s">
        <v>63</v>
      </c>
      <c r="C27" t="s">
        <v>64</v>
      </c>
      <c r="D27">
        <v>41109</v>
      </c>
      <c r="E27">
        <v>2543</v>
      </c>
      <c r="F27">
        <v>2854</v>
      </c>
      <c r="G27">
        <v>15</v>
      </c>
      <c r="H27">
        <v>7526</v>
      </c>
      <c r="I27">
        <v>67</v>
      </c>
      <c r="J27">
        <v>73</v>
      </c>
      <c r="K27">
        <v>72</v>
      </c>
      <c r="L27">
        <v>0</v>
      </c>
      <c r="M27">
        <v>119305</v>
      </c>
      <c r="N27" t="str">
        <f>IF(India_Menu[[#This Row],[Sodium]]&lt;=2000,"aceitavel","nao aceitavel")</f>
        <v>nao aceitavel</v>
      </c>
    </row>
    <row r="28" spans="1:14">
      <c r="A28" t="s">
        <v>14</v>
      </c>
      <c r="B28" t="s">
        <v>65</v>
      </c>
      <c r="C28" t="s">
        <v>66</v>
      </c>
      <c r="D28">
        <v>22459</v>
      </c>
      <c r="E28">
        <v>338</v>
      </c>
      <c r="F28">
        <v>1039</v>
      </c>
      <c r="G28">
        <v>497</v>
      </c>
      <c r="H28">
        <v>8</v>
      </c>
      <c r="I28">
        <v>77</v>
      </c>
      <c r="J28">
        <v>2708</v>
      </c>
      <c r="K28">
        <v>39</v>
      </c>
      <c r="L28">
        <v>0</v>
      </c>
      <c r="M28">
        <v>15315</v>
      </c>
      <c r="N28" t="str">
        <f>IF(India_Menu[[#This Row],[Sodium]]&lt;=2000,"aceitavel","nao aceitavel")</f>
        <v>nao aceitavel</v>
      </c>
    </row>
    <row r="29" spans="1:14">
      <c r="A29" t="s">
        <v>14</v>
      </c>
      <c r="B29" t="s">
        <v>67</v>
      </c>
      <c r="C29" t="s">
        <v>68</v>
      </c>
      <c r="D29">
        <v>31792</v>
      </c>
      <c r="E29">
        <v>479</v>
      </c>
      <c r="F29">
        <v>147</v>
      </c>
      <c r="G29">
        <v>704</v>
      </c>
      <c r="H29">
        <v>11</v>
      </c>
      <c r="I29">
        <v>109</v>
      </c>
      <c r="J29">
        <v>3834</v>
      </c>
      <c r="K29">
        <v>55</v>
      </c>
      <c r="L29">
        <v>0</v>
      </c>
      <c r="M29">
        <v>21679</v>
      </c>
      <c r="N29" t="str">
        <f>IF(India_Menu[[#This Row],[Sodium]]&lt;=2000,"aceitavel","nao aceitavel")</f>
        <v>nao aceitavel</v>
      </c>
    </row>
    <row r="30" spans="1:14">
      <c r="A30" t="s">
        <v>14</v>
      </c>
      <c r="B30" t="s">
        <v>69</v>
      </c>
      <c r="C30" t="s">
        <v>70</v>
      </c>
      <c r="D30">
        <v>44917</v>
      </c>
      <c r="E30">
        <v>676</v>
      </c>
      <c r="F30">
        <v>2077</v>
      </c>
      <c r="G30">
        <v>995</v>
      </c>
      <c r="H30">
        <v>15</v>
      </c>
      <c r="I30">
        <v>154</v>
      </c>
      <c r="J30">
        <v>5416</v>
      </c>
      <c r="K30">
        <v>77</v>
      </c>
      <c r="L30">
        <v>0</v>
      </c>
      <c r="M30">
        <v>30629</v>
      </c>
      <c r="N30" t="str">
        <f>IF(India_Menu[[#This Row],[Sodium]]&lt;=2000,"aceitavel","nao aceitavel")</f>
        <v>nao aceitavel</v>
      </c>
    </row>
    <row r="31" spans="1:14">
      <c r="A31" t="s">
        <v>14</v>
      </c>
      <c r="B31" t="s">
        <v>71</v>
      </c>
      <c r="C31" t="s">
        <v>72</v>
      </c>
      <c r="D31">
        <v>20465</v>
      </c>
      <c r="E31">
        <v>397</v>
      </c>
      <c r="F31">
        <v>715</v>
      </c>
      <c r="G31">
        <v>339</v>
      </c>
      <c r="H31">
        <v>1</v>
      </c>
      <c r="I31">
        <v>97</v>
      </c>
      <c r="J31">
        <v>2874</v>
      </c>
      <c r="K31">
        <v>48</v>
      </c>
      <c r="L31">
        <v>0</v>
      </c>
      <c r="M31">
        <v>35644</v>
      </c>
      <c r="N31" t="str">
        <f>IF(India_Menu[[#This Row],[Sodium]]&lt;=2000,"aceitavel","nao aceitavel")</f>
        <v>nao aceitavel</v>
      </c>
    </row>
    <row r="32" spans="1:14">
      <c r="A32" t="s">
        <v>14</v>
      </c>
      <c r="B32" t="s">
        <v>73</v>
      </c>
      <c r="C32" t="s">
        <v>74</v>
      </c>
      <c r="D32">
        <v>28005</v>
      </c>
      <c r="E32">
        <v>544</v>
      </c>
      <c r="F32">
        <v>979</v>
      </c>
      <c r="G32">
        <v>464</v>
      </c>
      <c r="H32">
        <v>13</v>
      </c>
      <c r="I32">
        <v>133</v>
      </c>
      <c r="J32">
        <v>3933</v>
      </c>
      <c r="K32">
        <v>66</v>
      </c>
      <c r="L32">
        <v>0</v>
      </c>
      <c r="M32">
        <v>48776</v>
      </c>
      <c r="N32" t="str">
        <f>IF(India_Menu[[#This Row],[Sodium]]&lt;=2000,"aceitavel","nao aceitavel")</f>
        <v>nao aceitavel</v>
      </c>
    </row>
    <row r="33" spans="1:14">
      <c r="A33" t="s">
        <v>14</v>
      </c>
      <c r="B33" t="s">
        <v>75</v>
      </c>
      <c r="C33" t="s">
        <v>76</v>
      </c>
      <c r="D33">
        <v>38776</v>
      </c>
      <c r="E33">
        <v>753</v>
      </c>
      <c r="F33">
        <v>1355</v>
      </c>
      <c r="G33">
        <v>643</v>
      </c>
      <c r="H33">
        <v>18</v>
      </c>
      <c r="I33">
        <v>184</v>
      </c>
      <c r="J33">
        <v>5446</v>
      </c>
      <c r="K33">
        <v>92</v>
      </c>
      <c r="L33">
        <v>0</v>
      </c>
      <c r="M33">
        <v>67535</v>
      </c>
      <c r="N33" t="str">
        <f>IF(India_Menu[[#This Row],[Sodium]]&lt;=2000,"aceitavel","nao aceitavel")</f>
        <v>nao aceitavel</v>
      </c>
    </row>
    <row r="34" spans="1:14">
      <c r="A34" t="s">
        <v>14</v>
      </c>
      <c r="B34" t="s">
        <v>77</v>
      </c>
      <c r="C34" t="s">
        <v>78</v>
      </c>
      <c r="D34">
        <v>68</v>
      </c>
      <c r="E34">
        <v>0</v>
      </c>
      <c r="F34">
        <v>0</v>
      </c>
      <c r="G34">
        <v>0</v>
      </c>
      <c r="H34">
        <v>0</v>
      </c>
      <c r="I34">
        <v>0</v>
      </c>
      <c r="J34">
        <v>17</v>
      </c>
      <c r="K34">
        <v>0</v>
      </c>
      <c r="L34">
        <v>0</v>
      </c>
      <c r="M34">
        <v>0</v>
      </c>
      <c r="N34" t="str">
        <f>IF(India_Menu[[#This Row],[Sodium]]&lt;=2000,"aceitavel","nao aceitavel")</f>
        <v>aceitavel</v>
      </c>
    </row>
    <row r="35" spans="1:14">
      <c r="A35" t="s">
        <v>14</v>
      </c>
      <c r="B35" t="s">
        <v>79</v>
      </c>
      <c r="C35" t="s">
        <v>80</v>
      </c>
      <c r="D35">
        <v>358</v>
      </c>
      <c r="E35">
        <v>10</v>
      </c>
      <c r="F35">
        <v>20</v>
      </c>
      <c r="G35">
        <v>12</v>
      </c>
      <c r="H35">
        <v>8</v>
      </c>
      <c r="I35">
        <v>60</v>
      </c>
      <c r="J35">
        <v>16</v>
      </c>
      <c r="K35">
        <v>345</v>
      </c>
      <c r="L35">
        <v>0</v>
      </c>
      <c r="M35">
        <v>140</v>
      </c>
      <c r="N35" t="str">
        <f>IF(India_Menu[[#This Row],[Sodium]]&lt;=2000,"aceitavel","nao aceitavel")</f>
        <v>aceitavel</v>
      </c>
    </row>
    <row r="36" spans="1:14">
      <c r="A36" t="s">
        <v>14</v>
      </c>
      <c r="B36" t="s">
        <v>81</v>
      </c>
      <c r="C36" t="s">
        <v>82</v>
      </c>
      <c r="D36">
        <v>34168</v>
      </c>
      <c r="E36">
        <v>513</v>
      </c>
      <c r="F36">
        <v>1728</v>
      </c>
      <c r="G36">
        <v>714</v>
      </c>
      <c r="H36">
        <v>8</v>
      </c>
      <c r="I36">
        <v>1596</v>
      </c>
      <c r="J36">
        <v>4013</v>
      </c>
      <c r="K36">
        <v>2944</v>
      </c>
      <c r="L36">
        <v>0</v>
      </c>
      <c r="M36">
        <v>31321</v>
      </c>
      <c r="N36" t="str">
        <f>IF(India_Menu[[#This Row],[Sodium]]&lt;=2000,"aceitavel","nao aceitavel")</f>
        <v>nao aceitavel</v>
      </c>
    </row>
    <row r="37" spans="1:14">
      <c r="A37" t="s">
        <v>14</v>
      </c>
      <c r="B37" t="s">
        <v>83</v>
      </c>
      <c r="C37" t="s">
        <v>82</v>
      </c>
      <c r="D37">
        <v>32929</v>
      </c>
      <c r="E37">
        <v>448</v>
      </c>
      <c r="F37">
        <v>1546</v>
      </c>
      <c r="G37">
        <v>714</v>
      </c>
      <c r="H37">
        <v>8</v>
      </c>
      <c r="I37">
        <v>7852</v>
      </c>
      <c r="J37">
        <v>4013</v>
      </c>
      <c r="K37">
        <v>296</v>
      </c>
      <c r="L37">
        <v>0</v>
      </c>
      <c r="M37">
        <v>25492</v>
      </c>
      <c r="N37" t="str">
        <f>IF(India_Menu[[#This Row],[Sodium]]&lt;=2000,"aceitavel","nao aceitavel")</f>
        <v>nao aceitavel</v>
      </c>
    </row>
    <row r="38" spans="1:14">
      <c r="A38" t="s">
        <v>84</v>
      </c>
      <c r="B38" t="s">
        <v>85</v>
      </c>
      <c r="C38" t="s">
        <v>86</v>
      </c>
      <c r="D38">
        <v>30935</v>
      </c>
      <c r="E38">
        <v>1022</v>
      </c>
      <c r="F38">
        <v>1178</v>
      </c>
      <c r="G38">
        <v>729</v>
      </c>
      <c r="H38">
        <v>18</v>
      </c>
      <c r="I38">
        <v>2531</v>
      </c>
      <c r="J38">
        <v>3886</v>
      </c>
      <c r="K38">
        <v>302</v>
      </c>
      <c r="L38">
        <v>75</v>
      </c>
      <c r="M38">
        <v>80463</v>
      </c>
      <c r="N38" t="str">
        <f>IF(India_Menu[[#This Row],[Sodium]]&lt;=2000,"aceitavel","nao aceitavel")</f>
        <v>nao aceitavel</v>
      </c>
    </row>
    <row r="39" spans="1:14">
      <c r="A39" t="s">
        <v>84</v>
      </c>
      <c r="B39" t="s">
        <v>87</v>
      </c>
      <c r="C39" t="s">
        <v>88</v>
      </c>
      <c r="D39">
        <v>27378</v>
      </c>
      <c r="E39">
        <v>958</v>
      </c>
      <c r="F39">
        <v>1282</v>
      </c>
      <c r="G39">
        <v>884</v>
      </c>
      <c r="H39">
        <v>21</v>
      </c>
      <c r="I39">
        <v>3775</v>
      </c>
      <c r="J39">
        <v>290</v>
      </c>
      <c r="K39">
        <v>259</v>
      </c>
      <c r="L39">
        <v>75</v>
      </c>
      <c r="M39">
        <v>62295</v>
      </c>
      <c r="N39" t="str">
        <f>IF(India_Menu[[#This Row],[Sodium]]&lt;=2000,"aceitavel","nao aceitavel")</f>
        <v>nao aceitavel</v>
      </c>
    </row>
    <row r="40" spans="1:14">
      <c r="A40" t="s">
        <v>84</v>
      </c>
      <c r="B40" t="s">
        <v>89</v>
      </c>
      <c r="C40" t="s">
        <v>90</v>
      </c>
      <c r="D40">
        <v>27827</v>
      </c>
      <c r="E40">
        <v>1149</v>
      </c>
      <c r="F40">
        <v>1181</v>
      </c>
      <c r="G40">
        <v>343</v>
      </c>
      <c r="H40">
        <v>11</v>
      </c>
      <c r="I40">
        <v>21261</v>
      </c>
      <c r="J40">
        <v>3137</v>
      </c>
      <c r="K40">
        <v>263</v>
      </c>
      <c r="L40">
        <v>105</v>
      </c>
      <c r="M40">
        <v>7736</v>
      </c>
      <c r="N40" t="str">
        <f>IF(India_Menu[[#This Row],[Sodium]]&lt;=2000,"aceitavel","nao aceitavel")</f>
        <v>nao aceitavel</v>
      </c>
    </row>
    <row r="41" spans="1:14">
      <c r="A41" t="s">
        <v>84</v>
      </c>
      <c r="B41" t="s">
        <v>91</v>
      </c>
      <c r="C41" t="s">
        <v>92</v>
      </c>
      <c r="D41">
        <v>28144</v>
      </c>
      <c r="E41">
        <v>1625</v>
      </c>
      <c r="F41">
        <v>1081</v>
      </c>
      <c r="G41">
        <v>604</v>
      </c>
      <c r="H41">
        <v>17</v>
      </c>
      <c r="I41">
        <v>5302</v>
      </c>
      <c r="J41">
        <v>2862</v>
      </c>
      <c r="K41">
        <v>238</v>
      </c>
      <c r="L41">
        <v>75</v>
      </c>
      <c r="M41">
        <v>7426</v>
      </c>
      <c r="N41" t="str">
        <f>IF(India_Menu[[#This Row],[Sodium]]&lt;=2000,"aceitavel","nao aceitavel")</f>
        <v>nao aceitavel</v>
      </c>
    </row>
    <row r="42" spans="1:14">
      <c r="A42" t="s">
        <v>84</v>
      </c>
      <c r="B42" t="s">
        <v>93</v>
      </c>
      <c r="C42" t="s">
        <v>94</v>
      </c>
      <c r="D42">
        <v>29042</v>
      </c>
      <c r="E42">
        <v>2246</v>
      </c>
      <c r="F42">
        <v>1594</v>
      </c>
      <c r="G42">
        <v>808</v>
      </c>
      <c r="H42">
        <v>22</v>
      </c>
      <c r="I42">
        <v>2648</v>
      </c>
      <c r="J42">
        <v>2887</v>
      </c>
      <c r="K42">
        <v>261</v>
      </c>
      <c r="L42">
        <v>75</v>
      </c>
      <c r="M42">
        <v>80404</v>
      </c>
      <c r="N42" t="str">
        <f>IF(India_Menu[[#This Row],[Sodium]]&lt;=2000,"aceitavel","nao aceitavel")</f>
        <v>nao aceitavel</v>
      </c>
    </row>
    <row r="43" spans="1:14">
      <c r="A43" t="s">
        <v>84</v>
      </c>
      <c r="B43" t="s">
        <v>95</v>
      </c>
      <c r="C43" t="s">
        <v>92</v>
      </c>
      <c r="D43">
        <v>28346</v>
      </c>
      <c r="E43">
        <v>1405</v>
      </c>
      <c r="F43">
        <v>1231</v>
      </c>
      <c r="G43">
        <v>692</v>
      </c>
      <c r="H43">
        <v>17</v>
      </c>
      <c r="I43">
        <v>2333</v>
      </c>
      <c r="J43">
        <v>2812</v>
      </c>
      <c r="K43">
        <v>238</v>
      </c>
      <c r="L43">
        <v>75</v>
      </c>
      <c r="M43">
        <v>51931</v>
      </c>
      <c r="N43" t="str">
        <f>IF(India_Menu[[#This Row],[Sodium]]&lt;=2000,"aceitavel","nao aceitavel")</f>
        <v>nao aceitavel</v>
      </c>
    </row>
    <row r="44" spans="1:14">
      <c r="A44" t="s">
        <v>84</v>
      </c>
      <c r="B44" t="s">
        <v>96</v>
      </c>
      <c r="C44" t="s">
        <v>97</v>
      </c>
      <c r="D44">
        <v>43298</v>
      </c>
      <c r="E44">
        <v>86</v>
      </c>
      <c r="F44">
        <v>1402</v>
      </c>
      <c r="G44">
        <v>711</v>
      </c>
      <c r="H44">
        <v>32</v>
      </c>
      <c r="I44">
        <v>2814</v>
      </c>
      <c r="J44">
        <v>6801</v>
      </c>
      <c r="K44">
        <v>2572</v>
      </c>
      <c r="L44">
        <v>135</v>
      </c>
      <c r="M44">
        <v>61574</v>
      </c>
      <c r="N44" t="str">
        <f>IF(India_Menu[[#This Row],[Sodium]]&lt;=2000,"aceitavel","nao aceitavel")</f>
        <v>nao aceitavel</v>
      </c>
    </row>
    <row r="45" spans="1:14">
      <c r="A45" t="s">
        <v>84</v>
      </c>
      <c r="B45" t="s">
        <v>98</v>
      </c>
      <c r="C45" t="s">
        <v>55</v>
      </c>
      <c r="D45">
        <v>14029</v>
      </c>
      <c r="E45">
        <v>193</v>
      </c>
      <c r="F45">
        <v>732</v>
      </c>
      <c r="G45">
        <v>342</v>
      </c>
      <c r="H45">
        <v>6</v>
      </c>
      <c r="I45">
        <v>64</v>
      </c>
      <c r="J45">
        <v>1563</v>
      </c>
      <c r="K45">
        <v>32</v>
      </c>
      <c r="L45">
        <v>0</v>
      </c>
      <c r="M45">
        <v>27526</v>
      </c>
      <c r="N45" t="str">
        <f>IF(India_Menu[[#This Row],[Sodium]]&lt;=2000,"aceitavel","nao aceitavel")</f>
        <v>nao aceitavel</v>
      </c>
    </row>
    <row r="46" spans="1:14">
      <c r="A46" t="s">
        <v>84</v>
      </c>
      <c r="B46" t="s">
        <v>99</v>
      </c>
      <c r="C46" t="s">
        <v>100</v>
      </c>
      <c r="D46">
        <v>1287</v>
      </c>
      <c r="E46">
        <v>52</v>
      </c>
      <c r="F46">
        <v>3</v>
      </c>
      <c r="G46">
        <v>3</v>
      </c>
      <c r="H46">
        <v>3</v>
      </c>
      <c r="I46">
        <v>27</v>
      </c>
      <c r="J46">
        <v>255</v>
      </c>
      <c r="K46">
        <v>13</v>
      </c>
      <c r="L46">
        <v>0</v>
      </c>
      <c r="M46">
        <v>32</v>
      </c>
      <c r="N46" t="str">
        <f>IF(India_Menu[[#This Row],[Sodium]]&lt;=2000,"aceitavel","nao aceitavel")</f>
        <v>aceitavel</v>
      </c>
    </row>
    <row r="47" spans="1:14">
      <c r="A47" t="s">
        <v>84</v>
      </c>
      <c r="B47" t="s">
        <v>101</v>
      </c>
      <c r="C47" t="s">
        <v>102</v>
      </c>
      <c r="D47">
        <v>4498</v>
      </c>
      <c r="E47">
        <v>209</v>
      </c>
      <c r="F47">
        <v>202</v>
      </c>
      <c r="G47">
        <v>149</v>
      </c>
      <c r="H47">
        <v>8</v>
      </c>
      <c r="I47">
        <v>627</v>
      </c>
      <c r="J47">
        <v>497</v>
      </c>
      <c r="K47">
        <v>25</v>
      </c>
      <c r="L47">
        <v>0</v>
      </c>
      <c r="M47">
        <v>2605</v>
      </c>
      <c r="N47" t="str">
        <f>IF(India_Menu[[#This Row],[Sodium]]&lt;=2000,"aceitavel","nao aceitavel")</f>
        <v>nao aceitavel</v>
      </c>
    </row>
    <row r="48" spans="1:14">
      <c r="A48" t="s">
        <v>84</v>
      </c>
      <c r="B48" t="s">
        <v>103</v>
      </c>
      <c r="C48" t="s">
        <v>104</v>
      </c>
      <c r="D48">
        <v>1287</v>
      </c>
      <c r="E48">
        <v>52</v>
      </c>
      <c r="F48">
        <v>3</v>
      </c>
      <c r="G48">
        <v>3</v>
      </c>
      <c r="H48">
        <v>3</v>
      </c>
      <c r="I48">
        <v>27</v>
      </c>
      <c r="J48">
        <v>255</v>
      </c>
      <c r="K48">
        <v>13</v>
      </c>
      <c r="L48">
        <v>0</v>
      </c>
      <c r="M48">
        <v>32</v>
      </c>
      <c r="N48" t="str">
        <f>IF(India_Menu[[#This Row],[Sodium]]&lt;=2000,"aceitavel","nao aceitavel")</f>
        <v>aceitavel</v>
      </c>
    </row>
    <row r="49" spans="1:14">
      <c r="A49" t="s">
        <v>84</v>
      </c>
      <c r="B49" t="s">
        <v>105</v>
      </c>
      <c r="C49" t="s">
        <v>106</v>
      </c>
      <c r="D49">
        <v>2307</v>
      </c>
      <c r="E49">
        <v>94</v>
      </c>
      <c r="F49">
        <v>5</v>
      </c>
      <c r="G49">
        <v>5</v>
      </c>
      <c r="H49">
        <v>5</v>
      </c>
      <c r="I49">
        <v>48</v>
      </c>
      <c r="J49">
        <v>457</v>
      </c>
      <c r="K49">
        <v>24</v>
      </c>
      <c r="L49">
        <v>0</v>
      </c>
      <c r="M49">
        <v>57</v>
      </c>
      <c r="N49" t="str">
        <f>IF(India_Menu[[#This Row],[Sodium]]&lt;=2000,"aceitavel","nao aceitavel")</f>
        <v>aceitavel</v>
      </c>
    </row>
    <row r="50" spans="1:14">
      <c r="A50" t="s">
        <v>84</v>
      </c>
      <c r="B50" t="s">
        <v>107</v>
      </c>
      <c r="C50" t="s">
        <v>108</v>
      </c>
      <c r="D50">
        <v>2671</v>
      </c>
      <c r="E50">
        <v>109</v>
      </c>
      <c r="F50">
        <v>6</v>
      </c>
      <c r="G50">
        <v>6</v>
      </c>
      <c r="H50">
        <v>6</v>
      </c>
      <c r="I50">
        <v>55</v>
      </c>
      <c r="J50">
        <v>53</v>
      </c>
      <c r="K50">
        <v>28</v>
      </c>
      <c r="L50">
        <v>0</v>
      </c>
      <c r="M50">
        <v>65</v>
      </c>
      <c r="N50" t="str">
        <f>IF(India_Menu[[#This Row],[Sodium]]&lt;=2000,"aceitavel","nao aceitavel")</f>
        <v>aceitavel</v>
      </c>
    </row>
    <row r="51" spans="1:14">
      <c r="A51" t="s">
        <v>84</v>
      </c>
      <c r="B51" t="s">
        <v>109</v>
      </c>
      <c r="C51" t="s">
        <v>110</v>
      </c>
      <c r="D51">
        <v>12525</v>
      </c>
      <c r="E51">
        <v>602</v>
      </c>
      <c r="F51">
        <v>701</v>
      </c>
      <c r="G51">
        <v>515</v>
      </c>
      <c r="H51">
        <v>2</v>
      </c>
      <c r="I51">
        <v>2127</v>
      </c>
      <c r="J51">
        <v>1102</v>
      </c>
      <c r="K51">
        <v>84</v>
      </c>
      <c r="L51">
        <v>0</v>
      </c>
      <c r="M51">
        <v>9039</v>
      </c>
      <c r="N51" t="str">
        <f>IF(India_Menu[[#This Row],[Sodium]]&lt;=2000,"aceitavel","nao aceitavel")</f>
        <v>nao aceitavel</v>
      </c>
    </row>
    <row r="52" spans="1:14">
      <c r="A52" t="s">
        <v>84</v>
      </c>
      <c r="B52" t="s">
        <v>111</v>
      </c>
      <c r="C52" t="s">
        <v>112</v>
      </c>
      <c r="D52">
        <v>18361</v>
      </c>
      <c r="E52">
        <v>879</v>
      </c>
      <c r="F52">
        <v>1002</v>
      </c>
      <c r="G52">
        <v>737</v>
      </c>
      <c r="H52">
        <v>3</v>
      </c>
      <c r="I52">
        <v>3048</v>
      </c>
      <c r="J52">
        <v>1667</v>
      </c>
      <c r="K52">
        <v>1205</v>
      </c>
      <c r="L52">
        <v>0</v>
      </c>
      <c r="M52">
        <v>12924</v>
      </c>
      <c r="N52" t="str">
        <f>IF(India_Menu[[#This Row],[Sodium]]&lt;=2000,"aceitavel","nao aceitavel")</f>
        <v>nao aceitavel</v>
      </c>
    </row>
    <row r="53" spans="1:14">
      <c r="A53" t="s">
        <v>113</v>
      </c>
      <c r="B53" t="s">
        <v>114</v>
      </c>
      <c r="C53" t="s">
        <v>115</v>
      </c>
      <c r="D53">
        <v>21936</v>
      </c>
      <c r="E53">
        <v>1051</v>
      </c>
      <c r="F53">
        <v>1203</v>
      </c>
      <c r="G53">
        <v>885</v>
      </c>
      <c r="H53">
        <v>36</v>
      </c>
      <c r="I53">
        <v>3655</v>
      </c>
      <c r="J53">
        <v>1981</v>
      </c>
      <c r="K53">
        <v>1445</v>
      </c>
      <c r="L53">
        <v>0</v>
      </c>
      <c r="M53">
        <v>15506</v>
      </c>
      <c r="N53" t="str">
        <f>IF(India_Menu[[#This Row],[Sodium]]&lt;=2000,"aceitavel","nao aceitavel")</f>
        <v>nao aceitavel</v>
      </c>
    </row>
    <row r="54" spans="1:14">
      <c r="A54" t="s">
        <v>113</v>
      </c>
      <c r="B54" t="s">
        <v>116</v>
      </c>
      <c r="C54" t="s">
        <v>117</v>
      </c>
      <c r="D54">
        <v>14772</v>
      </c>
      <c r="E54">
        <v>712</v>
      </c>
      <c r="F54">
        <v>841</v>
      </c>
      <c r="G54">
        <v>618</v>
      </c>
      <c r="H54">
        <v>24</v>
      </c>
      <c r="I54">
        <v>2547</v>
      </c>
      <c r="J54">
        <v>1271</v>
      </c>
      <c r="K54">
        <v>1006</v>
      </c>
      <c r="L54">
        <v>0</v>
      </c>
      <c r="M54">
        <v>1084</v>
      </c>
      <c r="N54" t="str">
        <f>IF(India_Menu[[#This Row],[Sodium]]&lt;=2000,"aceitavel","nao aceitavel")</f>
        <v>aceitavel</v>
      </c>
    </row>
    <row r="55" spans="1:14">
      <c r="A55" t="s">
        <v>113</v>
      </c>
      <c r="B55" t="s">
        <v>118</v>
      </c>
      <c r="C55" t="s">
        <v>119</v>
      </c>
      <c r="D55">
        <v>19003</v>
      </c>
      <c r="E55">
        <v>91</v>
      </c>
      <c r="F55">
        <v>1042</v>
      </c>
      <c r="G55">
        <v>767</v>
      </c>
      <c r="H55">
        <v>31</v>
      </c>
      <c r="I55">
        <v>3168</v>
      </c>
      <c r="J55">
        <v>1715</v>
      </c>
      <c r="K55">
        <v>1252</v>
      </c>
      <c r="L55">
        <v>0</v>
      </c>
      <c r="M55">
        <v>13439</v>
      </c>
      <c r="N55" t="str">
        <f>IF(India_Menu[[#This Row],[Sodium]]&lt;=2000,"aceitavel","nao aceitavel")</f>
        <v>nao aceitavel</v>
      </c>
    </row>
    <row r="56" spans="1:14">
      <c r="A56" t="s">
        <v>113</v>
      </c>
      <c r="B56" t="s">
        <v>120</v>
      </c>
      <c r="C56" t="s">
        <v>121</v>
      </c>
      <c r="D56">
        <v>2322</v>
      </c>
      <c r="E56">
        <v>1114</v>
      </c>
      <c r="F56">
        <v>1282</v>
      </c>
      <c r="G56">
        <v>943</v>
      </c>
      <c r="H56">
        <v>38</v>
      </c>
      <c r="I56">
        <v>3895</v>
      </c>
      <c r="J56">
        <v>2077</v>
      </c>
      <c r="K56">
        <v>154</v>
      </c>
      <c r="L56">
        <v>0</v>
      </c>
      <c r="M56">
        <v>16536</v>
      </c>
      <c r="N56" t="str">
        <f>IF(India_Menu[[#This Row],[Sodium]]&lt;=2000,"aceitavel","nao aceitavel")</f>
        <v>nao aceitavel</v>
      </c>
    </row>
    <row r="57" spans="1:14">
      <c r="A57" t="s">
        <v>113</v>
      </c>
      <c r="B57" t="s">
        <v>122</v>
      </c>
      <c r="C57" t="s">
        <v>123</v>
      </c>
      <c r="D57">
        <v>16699</v>
      </c>
      <c r="E57">
        <v>806</v>
      </c>
      <c r="F57">
        <v>96</v>
      </c>
      <c r="G57">
        <v>706</v>
      </c>
      <c r="H57">
        <v>27</v>
      </c>
      <c r="I57">
        <v>2907</v>
      </c>
      <c r="J57">
        <v>1416</v>
      </c>
      <c r="K57">
        <v>1147</v>
      </c>
      <c r="L57">
        <v>0</v>
      </c>
      <c r="M57">
        <v>12384</v>
      </c>
      <c r="N57" t="str">
        <f>IF(India_Menu[[#This Row],[Sodium]]&lt;=2000,"aceitavel","nao aceitavel")</f>
        <v>nao aceitavel</v>
      </c>
    </row>
    <row r="58" spans="1:14">
      <c r="A58" t="s">
        <v>113</v>
      </c>
      <c r="B58" t="s">
        <v>124</v>
      </c>
      <c r="C58" t="s">
        <v>106</v>
      </c>
      <c r="D58">
        <v>21572</v>
      </c>
      <c r="E58">
        <v>1036</v>
      </c>
      <c r="F58">
        <v>1202</v>
      </c>
      <c r="G58">
        <v>884</v>
      </c>
      <c r="H58">
        <v>35</v>
      </c>
      <c r="I58">
        <v>3648</v>
      </c>
      <c r="J58">
        <v>1908</v>
      </c>
      <c r="K58">
        <v>1441</v>
      </c>
      <c r="L58">
        <v>0</v>
      </c>
      <c r="M58">
        <v>15498</v>
      </c>
      <c r="N58" t="str">
        <f>IF(India_Menu[[#This Row],[Sodium]]&lt;=2000,"aceitavel","nao aceitavel")</f>
        <v>nao aceitavel</v>
      </c>
    </row>
    <row r="59" spans="1:14">
      <c r="A59" t="s">
        <v>113</v>
      </c>
      <c r="B59" t="s">
        <v>125</v>
      </c>
      <c r="C59" t="s">
        <v>126</v>
      </c>
      <c r="D59">
        <v>25147</v>
      </c>
      <c r="E59">
        <v>1208</v>
      </c>
      <c r="F59">
        <v>1402</v>
      </c>
      <c r="G59">
        <v>1031</v>
      </c>
      <c r="H59">
        <v>41</v>
      </c>
      <c r="I59">
        <v>4255</v>
      </c>
      <c r="J59">
        <v>2222</v>
      </c>
      <c r="K59">
        <v>1681</v>
      </c>
      <c r="L59">
        <v>0</v>
      </c>
      <c r="M59">
        <v>1808</v>
      </c>
      <c r="N59" t="str">
        <f>IF(India_Menu[[#This Row],[Sodium]]&lt;=2000,"aceitavel","nao aceitavel")</f>
        <v>aceitavel</v>
      </c>
    </row>
    <row r="60" spans="1:14">
      <c r="A60" t="s">
        <v>113</v>
      </c>
      <c r="B60" t="s">
        <v>127</v>
      </c>
      <c r="C60" t="s">
        <v>128</v>
      </c>
      <c r="D60">
        <v>18585</v>
      </c>
      <c r="E60">
        <v>715</v>
      </c>
      <c r="F60">
        <v>82</v>
      </c>
      <c r="G60">
        <v>594</v>
      </c>
      <c r="H60">
        <v>26</v>
      </c>
      <c r="I60">
        <v>2443</v>
      </c>
      <c r="J60">
        <v>2259</v>
      </c>
      <c r="K60">
        <v>1757</v>
      </c>
      <c r="L60">
        <v>608</v>
      </c>
      <c r="M60">
        <v>13284</v>
      </c>
      <c r="N60" t="str">
        <f>IF(India_Menu[[#This Row],[Sodium]]&lt;=2000,"aceitavel","nao aceitavel")</f>
        <v>nao aceitavel</v>
      </c>
    </row>
    <row r="61" spans="1:14">
      <c r="A61" t="s">
        <v>113</v>
      </c>
      <c r="B61" t="s">
        <v>129</v>
      </c>
      <c r="C61" t="s">
        <v>130</v>
      </c>
      <c r="D61">
        <v>2440</v>
      </c>
      <c r="E61">
        <v>899</v>
      </c>
      <c r="F61">
        <v>991</v>
      </c>
      <c r="G61">
        <v>717</v>
      </c>
      <c r="H61">
        <v>34</v>
      </c>
      <c r="I61">
        <v>2952</v>
      </c>
      <c r="J61">
        <v>3172</v>
      </c>
      <c r="K61">
        <v>2356</v>
      </c>
      <c r="L61">
        <v>912</v>
      </c>
      <c r="M61">
        <v>16847</v>
      </c>
      <c r="N61" t="str">
        <f>IF(India_Menu[[#This Row],[Sodium]]&lt;=2000,"aceitavel","nao aceitavel")</f>
        <v>nao aceitavel</v>
      </c>
    </row>
    <row r="62" spans="1:14">
      <c r="A62" t="s">
        <v>113</v>
      </c>
      <c r="B62" t="s">
        <v>131</v>
      </c>
      <c r="C62" t="s">
        <v>132</v>
      </c>
      <c r="D62">
        <v>30202</v>
      </c>
      <c r="E62">
        <v>1088</v>
      </c>
      <c r="F62">
        <v>1201</v>
      </c>
      <c r="G62">
        <v>867</v>
      </c>
      <c r="H62">
        <v>41</v>
      </c>
      <c r="I62">
        <v>3567</v>
      </c>
      <c r="J62">
        <v>4004</v>
      </c>
      <c r="K62">
        <v>2996</v>
      </c>
      <c r="L62">
        <v>1216</v>
      </c>
      <c r="M62">
        <v>20909</v>
      </c>
      <c r="N62" t="str">
        <f>IF(India_Menu[[#This Row],[Sodium]]&lt;=2000,"aceitavel","nao aceitavel")</f>
        <v>nao aceitavel</v>
      </c>
    </row>
    <row r="63" spans="1:14">
      <c r="A63" t="s">
        <v>113</v>
      </c>
      <c r="B63" t="s">
        <v>133</v>
      </c>
      <c r="C63" t="s">
        <v>134</v>
      </c>
      <c r="D63">
        <v>1435</v>
      </c>
      <c r="E63">
        <v>387</v>
      </c>
      <c r="F63">
        <v>438</v>
      </c>
      <c r="G63">
        <v>308</v>
      </c>
      <c r="H63">
        <v>15</v>
      </c>
      <c r="I63">
        <v>1227</v>
      </c>
      <c r="J63">
        <v>2285</v>
      </c>
      <c r="K63">
        <v>1853</v>
      </c>
      <c r="L63">
        <v>921</v>
      </c>
      <c r="M63">
        <v>9644</v>
      </c>
      <c r="N63" t="str">
        <f>IF(India_Menu[[#This Row],[Sodium]]&lt;=2000,"aceitavel","nao aceitavel")</f>
        <v>nao aceitavel</v>
      </c>
    </row>
    <row r="64" spans="1:14">
      <c r="A64" t="s">
        <v>113</v>
      </c>
      <c r="B64" t="s">
        <v>135</v>
      </c>
      <c r="C64" t="s">
        <v>136</v>
      </c>
      <c r="D64">
        <v>23942</v>
      </c>
      <c r="E64">
        <v>673</v>
      </c>
      <c r="F64">
        <v>777</v>
      </c>
      <c r="G64">
        <v>549</v>
      </c>
      <c r="H64">
        <v>26</v>
      </c>
      <c r="I64">
        <v>2203</v>
      </c>
      <c r="J64">
        <v>3708</v>
      </c>
      <c r="K64">
        <v>3031</v>
      </c>
      <c r="L64">
        <v>1529</v>
      </c>
      <c r="M64">
        <v>16721</v>
      </c>
      <c r="N64" t="str">
        <f>IF(India_Menu[[#This Row],[Sodium]]&lt;=2000,"aceitavel","nao aceitavel")</f>
        <v>nao aceitavel</v>
      </c>
    </row>
    <row r="65" spans="1:14">
      <c r="A65" t="s">
        <v>113</v>
      </c>
      <c r="B65" t="s">
        <v>137</v>
      </c>
      <c r="C65" t="s">
        <v>138</v>
      </c>
      <c r="D65">
        <v>29681</v>
      </c>
      <c r="E65">
        <v>77</v>
      </c>
      <c r="F65">
        <v>876</v>
      </c>
      <c r="G65">
        <v>613</v>
      </c>
      <c r="H65">
        <v>32</v>
      </c>
      <c r="I65">
        <v>2459</v>
      </c>
      <c r="J65">
        <v>4841</v>
      </c>
      <c r="K65">
        <v>3924</v>
      </c>
      <c r="L65">
        <v>2137</v>
      </c>
      <c r="M65">
        <v>20709</v>
      </c>
      <c r="N65" t="str">
        <f>IF(India_Menu[[#This Row],[Sodium]]&lt;=2000,"aceitavel","nao aceitavel")</f>
        <v>nao aceitavel</v>
      </c>
    </row>
    <row r="66" spans="1:14">
      <c r="A66" t="s">
        <v>113</v>
      </c>
      <c r="B66" t="s">
        <v>139</v>
      </c>
      <c r="C66" t="s">
        <v>140</v>
      </c>
      <c r="D66">
        <v>38329</v>
      </c>
      <c r="E66">
        <v>1101</v>
      </c>
      <c r="F66">
        <v>1284</v>
      </c>
      <c r="G66">
        <v>909</v>
      </c>
      <c r="H66">
        <v>43</v>
      </c>
      <c r="I66">
        <v>3667</v>
      </c>
      <c r="J66">
        <v>5843</v>
      </c>
      <c r="K66">
        <v>4796</v>
      </c>
      <c r="L66">
        <v>2441</v>
      </c>
      <c r="M66">
        <v>27335</v>
      </c>
      <c r="N66" t="str">
        <f>IF(India_Menu[[#This Row],[Sodium]]&lt;=2000,"aceitavel","nao aceitavel")</f>
        <v>nao aceitavel</v>
      </c>
    </row>
    <row r="67" spans="1:14">
      <c r="A67" t="s">
        <v>113</v>
      </c>
      <c r="B67" t="s">
        <v>141</v>
      </c>
      <c r="C67" t="s">
        <v>142</v>
      </c>
      <c r="D67">
        <v>21421</v>
      </c>
      <c r="E67">
        <v>615</v>
      </c>
      <c r="F67">
        <v>596</v>
      </c>
      <c r="G67">
        <v>427</v>
      </c>
      <c r="H67">
        <v>15</v>
      </c>
      <c r="I67">
        <v>1473</v>
      </c>
      <c r="J67">
        <v>3304</v>
      </c>
      <c r="K67">
        <v>2573</v>
      </c>
      <c r="L67">
        <v>104</v>
      </c>
      <c r="M67">
        <v>6828</v>
      </c>
      <c r="N67" t="str">
        <f>IF(India_Menu[[#This Row],[Sodium]]&lt;=2000,"aceitavel","nao aceitavel")</f>
        <v>nao aceitavel</v>
      </c>
    </row>
    <row r="68" spans="1:14">
      <c r="A68" t="s">
        <v>113</v>
      </c>
      <c r="B68" t="s">
        <v>143</v>
      </c>
      <c r="C68" t="s">
        <v>144</v>
      </c>
      <c r="D68">
        <v>25578</v>
      </c>
      <c r="E68">
        <v>687</v>
      </c>
      <c r="F68">
        <v>632</v>
      </c>
      <c r="G68">
        <v>449</v>
      </c>
      <c r="H68">
        <v>16</v>
      </c>
      <c r="I68">
        <v>1483</v>
      </c>
      <c r="J68">
        <v>4129</v>
      </c>
      <c r="K68">
        <v>3181</v>
      </c>
      <c r="L68">
        <v>135</v>
      </c>
      <c r="M68">
        <v>7026</v>
      </c>
      <c r="N68" t="str">
        <f>IF(India_Menu[[#This Row],[Sodium]]&lt;=2000,"aceitavel","nao aceitavel")</f>
        <v>nao aceitavel</v>
      </c>
    </row>
    <row r="69" spans="1:14">
      <c r="A69" t="s">
        <v>113</v>
      </c>
      <c r="B69" t="s">
        <v>145</v>
      </c>
      <c r="C69" t="s">
        <v>146</v>
      </c>
      <c r="D69">
        <v>993</v>
      </c>
      <c r="E69">
        <v>56</v>
      </c>
      <c r="F69">
        <v>28</v>
      </c>
      <c r="G69">
        <v>28</v>
      </c>
      <c r="H69">
        <v>28</v>
      </c>
      <c r="I69">
        <v>279</v>
      </c>
      <c r="J69">
        <v>28</v>
      </c>
      <c r="K69">
        <v>14</v>
      </c>
      <c r="L69">
        <v>0</v>
      </c>
      <c r="M69">
        <v>1384</v>
      </c>
      <c r="N69" t="str">
        <f>IF(India_Menu[[#This Row],[Sodium]]&lt;=2000,"aceitavel","nao aceitavel")</f>
        <v>aceitavel</v>
      </c>
    </row>
    <row r="70" spans="1:14">
      <c r="A70" t="s">
        <v>113</v>
      </c>
      <c r="B70" t="s">
        <v>147</v>
      </c>
      <c r="C70" t="s">
        <v>148</v>
      </c>
      <c r="D70">
        <v>1175</v>
      </c>
      <c r="E70">
        <v>66</v>
      </c>
      <c r="F70">
        <v>33</v>
      </c>
      <c r="G70">
        <v>33</v>
      </c>
      <c r="H70">
        <v>33</v>
      </c>
      <c r="I70">
        <v>33</v>
      </c>
      <c r="J70">
        <v>33</v>
      </c>
      <c r="K70">
        <v>165</v>
      </c>
      <c r="L70">
        <v>0</v>
      </c>
      <c r="M70">
        <v>1637</v>
      </c>
      <c r="N70" t="str">
        <f>IF(India_Menu[[#This Row],[Sodium]]&lt;=2000,"aceitavel","nao aceitavel")</f>
        <v>aceitavel</v>
      </c>
    </row>
    <row r="71" spans="1:14">
      <c r="A71" t="s">
        <v>113</v>
      </c>
      <c r="B71" t="s">
        <v>149</v>
      </c>
      <c r="C71" t="s">
        <v>150</v>
      </c>
      <c r="D71">
        <v>1623</v>
      </c>
      <c r="E71">
        <v>91</v>
      </c>
      <c r="F71">
        <v>46</v>
      </c>
      <c r="G71">
        <v>46</v>
      </c>
      <c r="H71">
        <v>46</v>
      </c>
      <c r="I71">
        <v>456</v>
      </c>
      <c r="J71">
        <v>46</v>
      </c>
      <c r="K71">
        <v>228</v>
      </c>
      <c r="L71">
        <v>0</v>
      </c>
      <c r="M71">
        <v>2262</v>
      </c>
      <c r="N71" t="str">
        <f>IF(India_Menu[[#This Row],[Sodium]]&lt;=2000,"aceitavel","nao aceitavel")</f>
        <v>nao aceitavel</v>
      </c>
    </row>
    <row r="72" spans="1:14">
      <c r="A72" t="s">
        <v>113</v>
      </c>
      <c r="B72" t="s">
        <v>151</v>
      </c>
      <c r="C72" t="s">
        <v>146</v>
      </c>
      <c r="D72">
        <v>625</v>
      </c>
      <c r="E72">
        <v>33</v>
      </c>
      <c r="F72">
        <v>28</v>
      </c>
      <c r="G72">
        <v>28</v>
      </c>
      <c r="H72">
        <v>28</v>
      </c>
      <c r="I72">
        <v>279</v>
      </c>
      <c r="J72">
        <v>279</v>
      </c>
      <c r="K72">
        <v>14</v>
      </c>
      <c r="L72">
        <v>0</v>
      </c>
      <c r="M72">
        <v>1495</v>
      </c>
      <c r="N72" t="str">
        <f>IF(India_Menu[[#This Row],[Sodium]]&lt;=2000,"aceitavel","nao aceitavel")</f>
        <v>aceitavel</v>
      </c>
    </row>
    <row r="73" spans="1:14">
      <c r="A73" t="s">
        <v>113</v>
      </c>
      <c r="B73" t="s">
        <v>152</v>
      </c>
      <c r="C73" t="s">
        <v>148</v>
      </c>
      <c r="D73">
        <v>739</v>
      </c>
      <c r="E73">
        <v>4</v>
      </c>
      <c r="F73">
        <v>33</v>
      </c>
      <c r="G73">
        <v>33</v>
      </c>
      <c r="H73">
        <v>33</v>
      </c>
      <c r="I73">
        <v>33</v>
      </c>
      <c r="J73">
        <v>33</v>
      </c>
      <c r="K73">
        <v>165</v>
      </c>
      <c r="L73">
        <v>0</v>
      </c>
      <c r="M73">
        <v>1769</v>
      </c>
      <c r="N73" t="str">
        <f>IF(India_Menu[[#This Row],[Sodium]]&lt;=2000,"aceitavel","nao aceitavel")</f>
        <v>aceitavel</v>
      </c>
    </row>
    <row r="74" spans="1:14">
      <c r="A74" t="s">
        <v>113</v>
      </c>
      <c r="B74" t="s">
        <v>153</v>
      </c>
      <c r="C74" t="s">
        <v>150</v>
      </c>
      <c r="D74">
        <v>1021</v>
      </c>
      <c r="E74">
        <v>55</v>
      </c>
      <c r="F74">
        <v>46</v>
      </c>
      <c r="G74">
        <v>46</v>
      </c>
      <c r="H74">
        <v>46</v>
      </c>
      <c r="I74">
        <v>456</v>
      </c>
      <c r="J74">
        <v>456</v>
      </c>
      <c r="K74">
        <v>228</v>
      </c>
      <c r="L74">
        <v>0</v>
      </c>
      <c r="M74">
        <v>2444</v>
      </c>
      <c r="N74" t="str">
        <f>IF(India_Menu[[#This Row],[Sodium]]&lt;=2000,"aceitavel","nao aceitavel")</f>
        <v>nao aceitavel</v>
      </c>
    </row>
    <row r="75" spans="1:14">
      <c r="A75" t="s">
        <v>113</v>
      </c>
      <c r="B75" t="s">
        <v>154</v>
      </c>
      <c r="C75" t="s">
        <v>146</v>
      </c>
      <c r="D75">
        <v>703</v>
      </c>
      <c r="E75">
        <v>47</v>
      </c>
      <c r="F75">
        <v>28</v>
      </c>
      <c r="G75">
        <v>28</v>
      </c>
      <c r="H75">
        <v>28</v>
      </c>
      <c r="I75">
        <v>279</v>
      </c>
      <c r="J75">
        <v>279</v>
      </c>
      <c r="K75">
        <v>14</v>
      </c>
      <c r="L75">
        <v>0</v>
      </c>
      <c r="M75">
        <v>1454</v>
      </c>
      <c r="N75" t="str">
        <f>IF(India_Menu[[#This Row],[Sodium]]&lt;=2000,"aceitavel","nao aceitavel")</f>
        <v>aceitavel</v>
      </c>
    </row>
    <row r="76" spans="1:14">
      <c r="A76" t="s">
        <v>113</v>
      </c>
      <c r="B76" t="s">
        <v>155</v>
      </c>
      <c r="C76" t="s">
        <v>148</v>
      </c>
      <c r="D76">
        <v>832</v>
      </c>
      <c r="E76">
        <v>56</v>
      </c>
      <c r="F76">
        <v>33</v>
      </c>
      <c r="G76">
        <v>33</v>
      </c>
      <c r="H76">
        <v>33</v>
      </c>
      <c r="I76">
        <v>33</v>
      </c>
      <c r="J76">
        <v>33</v>
      </c>
      <c r="K76">
        <v>165</v>
      </c>
      <c r="L76">
        <v>0</v>
      </c>
      <c r="M76">
        <v>1719</v>
      </c>
      <c r="N76" t="str">
        <f>IF(India_Menu[[#This Row],[Sodium]]&lt;=2000,"aceitavel","nao aceitavel")</f>
        <v>aceitavel</v>
      </c>
    </row>
    <row r="77" spans="1:14">
      <c r="A77" t="s">
        <v>113</v>
      </c>
      <c r="B77" t="s">
        <v>156</v>
      </c>
      <c r="C77" t="s">
        <v>150</v>
      </c>
      <c r="D77">
        <v>1149</v>
      </c>
      <c r="E77">
        <v>78</v>
      </c>
      <c r="F77">
        <v>46</v>
      </c>
      <c r="G77">
        <v>46</v>
      </c>
      <c r="H77">
        <v>46</v>
      </c>
      <c r="I77">
        <v>456</v>
      </c>
      <c r="J77">
        <v>456</v>
      </c>
      <c r="K77">
        <v>228</v>
      </c>
      <c r="L77">
        <v>0</v>
      </c>
      <c r="M77">
        <v>2376</v>
      </c>
      <c r="N77" t="str">
        <f>IF(India_Menu[[#This Row],[Sodium]]&lt;=2000,"aceitavel","nao aceitavel")</f>
        <v>nao aceitavel</v>
      </c>
    </row>
    <row r="78" spans="1:14">
      <c r="A78" t="s">
        <v>113</v>
      </c>
      <c r="B78" t="s">
        <v>157</v>
      </c>
      <c r="C78" t="s">
        <v>158</v>
      </c>
      <c r="D78">
        <v>12186</v>
      </c>
      <c r="E78">
        <v>27</v>
      </c>
      <c r="F78">
        <v>17</v>
      </c>
      <c r="G78">
        <v>17</v>
      </c>
      <c r="H78">
        <v>17</v>
      </c>
      <c r="I78">
        <v>165</v>
      </c>
      <c r="J78">
        <v>3059</v>
      </c>
      <c r="K78">
        <v>2653</v>
      </c>
      <c r="L78">
        <v>256</v>
      </c>
      <c r="M78">
        <v>1026</v>
      </c>
      <c r="N78" t="str">
        <f>IF(India_Menu[[#This Row],[Sodium]]&lt;=2000,"aceitavel","nao aceitavel")</f>
        <v>aceitavel</v>
      </c>
    </row>
    <row r="79" spans="1:14">
      <c r="A79" t="s">
        <v>113</v>
      </c>
      <c r="B79" t="s">
        <v>159</v>
      </c>
      <c r="C79" t="s">
        <v>117</v>
      </c>
      <c r="D79">
        <v>9495</v>
      </c>
      <c r="E79">
        <v>24</v>
      </c>
      <c r="F79">
        <v>16</v>
      </c>
      <c r="G79">
        <v>16</v>
      </c>
      <c r="H79">
        <v>16</v>
      </c>
      <c r="I79">
        <v>157</v>
      </c>
      <c r="J79">
        <v>2417</v>
      </c>
      <c r="K79">
        <v>211</v>
      </c>
      <c r="L79">
        <v>2027</v>
      </c>
      <c r="M79">
        <v>972</v>
      </c>
      <c r="N79" t="str">
        <f>IF(India_Menu[[#This Row],[Sodium]]&lt;=2000,"aceitavel","nao aceitavel")</f>
        <v>aceitavel</v>
      </c>
    </row>
    <row r="80" spans="1:14">
      <c r="A80" t="s">
        <v>113</v>
      </c>
      <c r="B80" t="s">
        <v>160</v>
      </c>
      <c r="C80" t="s">
        <v>117</v>
      </c>
      <c r="D80">
        <v>9494</v>
      </c>
      <c r="E80">
        <v>24</v>
      </c>
      <c r="F80">
        <v>16</v>
      </c>
      <c r="G80">
        <v>16</v>
      </c>
      <c r="H80">
        <v>16</v>
      </c>
      <c r="I80">
        <v>157</v>
      </c>
      <c r="J80">
        <v>2417</v>
      </c>
      <c r="K80">
        <v>2075</v>
      </c>
      <c r="L80">
        <v>1994</v>
      </c>
      <c r="M80">
        <v>961</v>
      </c>
      <c r="N80" t="str">
        <f>IF(India_Menu[[#This Row],[Sodium]]&lt;=2000,"aceitavel","nao aceitavel")</f>
        <v>aceitavel</v>
      </c>
    </row>
    <row r="81" spans="1:14">
      <c r="A81" t="s">
        <v>113</v>
      </c>
      <c r="B81" t="s">
        <v>161</v>
      </c>
      <c r="C81" t="s">
        <v>162</v>
      </c>
      <c r="D81">
        <v>18534</v>
      </c>
      <c r="E81">
        <v>436</v>
      </c>
      <c r="F81">
        <v>445</v>
      </c>
      <c r="G81">
        <v>326</v>
      </c>
      <c r="H81">
        <v>15</v>
      </c>
      <c r="I81">
        <v>1213</v>
      </c>
      <c r="J81">
        <v>3188</v>
      </c>
      <c r="K81">
        <v>2695</v>
      </c>
      <c r="L81">
        <v>175</v>
      </c>
      <c r="M81">
        <v>7835</v>
      </c>
      <c r="N81" t="str">
        <f>IF(India_Menu[[#This Row],[Sodium]]&lt;=2000,"aceitavel","nao aceitavel")</f>
        <v>nao aceitavel</v>
      </c>
    </row>
    <row r="82" spans="1:14">
      <c r="A82" t="s">
        <v>113</v>
      </c>
      <c r="B82" t="s">
        <v>163</v>
      </c>
      <c r="C82" t="s">
        <v>164</v>
      </c>
      <c r="D82">
        <v>33117</v>
      </c>
      <c r="E82">
        <v>498</v>
      </c>
      <c r="F82">
        <v>1473</v>
      </c>
      <c r="G82">
        <v>1391</v>
      </c>
      <c r="H82">
        <v>16</v>
      </c>
      <c r="I82">
        <v>918</v>
      </c>
      <c r="J82">
        <v>4539</v>
      </c>
      <c r="K82">
        <v>3557</v>
      </c>
      <c r="L82">
        <v>2751</v>
      </c>
      <c r="M82">
        <v>18893</v>
      </c>
      <c r="N82" t="str">
        <f>IF(India_Menu[[#This Row],[Sodium]]&lt;=2000,"aceitavel","nao aceitavel")</f>
        <v>nao aceitavel</v>
      </c>
    </row>
    <row r="83" spans="1:14">
      <c r="A83" t="s">
        <v>113</v>
      </c>
      <c r="B83" t="s">
        <v>165</v>
      </c>
      <c r="C83" t="s">
        <v>166</v>
      </c>
      <c r="D83">
        <v>39798</v>
      </c>
      <c r="E83">
        <v>549</v>
      </c>
      <c r="F83">
        <v>1501</v>
      </c>
      <c r="G83">
        <v>140</v>
      </c>
      <c r="H83">
        <v>2</v>
      </c>
      <c r="I83">
        <v>942</v>
      </c>
      <c r="J83">
        <v>6093</v>
      </c>
      <c r="K83">
        <v>4755</v>
      </c>
      <c r="L83">
        <v>3663</v>
      </c>
      <c r="M83">
        <v>23332</v>
      </c>
      <c r="N83" t="str">
        <f>IF(India_Menu[[#This Row],[Sodium]]&lt;=2000,"aceitavel","nao aceitavel")</f>
        <v>nao aceitavel</v>
      </c>
    </row>
    <row r="84" spans="1:14">
      <c r="A84" t="s">
        <v>113</v>
      </c>
      <c r="B84" t="s">
        <v>167</v>
      </c>
      <c r="C84" t="s">
        <v>168</v>
      </c>
      <c r="D84">
        <v>48111</v>
      </c>
      <c r="E84">
        <v>603</v>
      </c>
      <c r="F84">
        <v>1889</v>
      </c>
      <c r="G84">
        <v>1591</v>
      </c>
      <c r="H84">
        <v>22</v>
      </c>
      <c r="I84">
        <v>936</v>
      </c>
      <c r="J84">
        <v>7251</v>
      </c>
      <c r="K84">
        <v>5514</v>
      </c>
      <c r="L84">
        <v>4435</v>
      </c>
      <c r="M84">
        <v>3326</v>
      </c>
      <c r="N84" t="str">
        <f>IF(India_Menu[[#This Row],[Sodium]]&lt;=2000,"aceitavel","nao aceitavel")</f>
        <v>nao aceitavel</v>
      </c>
    </row>
    <row r="85" spans="1:14">
      <c r="A85" t="s">
        <v>113</v>
      </c>
      <c r="B85" t="s">
        <v>169</v>
      </c>
      <c r="C85" t="s">
        <v>138</v>
      </c>
      <c r="D85">
        <v>25551</v>
      </c>
      <c r="E85">
        <v>367</v>
      </c>
      <c r="F85">
        <v>744</v>
      </c>
      <c r="G85">
        <v>668</v>
      </c>
      <c r="H85">
        <v>12</v>
      </c>
      <c r="I85">
        <v>839</v>
      </c>
      <c r="J85">
        <v>4407</v>
      </c>
      <c r="K85">
        <v>3742</v>
      </c>
      <c r="L85">
        <v>298</v>
      </c>
      <c r="M85">
        <v>13997</v>
      </c>
      <c r="N85" t="str">
        <f>IF(India_Menu[[#This Row],[Sodium]]&lt;=2000,"aceitavel","nao aceitavel")</f>
        <v>nao aceitavel</v>
      </c>
    </row>
    <row r="86" spans="1:14">
      <c r="A86" t="s">
        <v>113</v>
      </c>
      <c r="B86" t="s">
        <v>170</v>
      </c>
      <c r="C86" t="s">
        <v>138</v>
      </c>
      <c r="D86">
        <v>2709</v>
      </c>
      <c r="E86">
        <v>416</v>
      </c>
      <c r="F86">
        <v>77</v>
      </c>
      <c r="G86">
        <v>674</v>
      </c>
      <c r="H86">
        <v>14</v>
      </c>
      <c r="I86">
        <v>839</v>
      </c>
      <c r="J86">
        <v>4676</v>
      </c>
      <c r="K86">
        <v>3778</v>
      </c>
      <c r="L86">
        <v>2788</v>
      </c>
      <c r="M86">
        <v>17846</v>
      </c>
      <c r="N86" t="str">
        <f>IF(India_Menu[[#This Row],[Sodium]]&lt;=2000,"aceitavel","nao aceitavel")</f>
        <v>nao aceitavel</v>
      </c>
    </row>
    <row r="87" spans="1:14">
      <c r="A87" t="s">
        <v>113</v>
      </c>
      <c r="B87" t="s">
        <v>171</v>
      </c>
      <c r="C87" t="s">
        <v>172</v>
      </c>
      <c r="D87">
        <v>23144</v>
      </c>
      <c r="E87">
        <v>321</v>
      </c>
      <c r="F87">
        <v>363</v>
      </c>
      <c r="G87">
        <v>265</v>
      </c>
      <c r="H87">
        <v>14</v>
      </c>
      <c r="I87">
        <v>989</v>
      </c>
      <c r="J87">
        <v>4625</v>
      </c>
      <c r="K87">
        <v>3887</v>
      </c>
      <c r="L87">
        <v>2972</v>
      </c>
      <c r="M87">
        <v>8545</v>
      </c>
      <c r="N87" t="str">
        <f>IF(India_Menu[[#This Row],[Sodium]]&lt;=2000,"aceitavel","nao aceitavel")</f>
        <v>nao aceitavel</v>
      </c>
    </row>
    <row r="88" spans="1:14">
      <c r="A88" t="s">
        <v>113</v>
      </c>
      <c r="B88" t="s">
        <v>173</v>
      </c>
      <c r="C88" t="s">
        <v>174</v>
      </c>
      <c r="D88">
        <v>23543</v>
      </c>
      <c r="E88">
        <v>333</v>
      </c>
      <c r="F88">
        <v>359</v>
      </c>
      <c r="G88">
        <v>264</v>
      </c>
      <c r="H88">
        <v>15</v>
      </c>
      <c r="I88">
        <v>999</v>
      </c>
      <c r="J88">
        <v>4716</v>
      </c>
      <c r="K88">
        <v>430</v>
      </c>
      <c r="L88">
        <v>3365</v>
      </c>
      <c r="M88">
        <v>9207</v>
      </c>
      <c r="N88" t="str">
        <f>IF(India_Menu[[#This Row],[Sodium]]&lt;=2000,"aceitavel","nao aceitavel")</f>
        <v>nao aceitavel</v>
      </c>
    </row>
    <row r="89" spans="1:14">
      <c r="A89" t="s">
        <v>113</v>
      </c>
      <c r="B89" t="s">
        <v>175</v>
      </c>
      <c r="C89" t="s">
        <v>176</v>
      </c>
      <c r="D89">
        <v>10238</v>
      </c>
      <c r="E89">
        <v>14</v>
      </c>
      <c r="F89">
        <v>4</v>
      </c>
      <c r="G89">
        <v>4</v>
      </c>
      <c r="H89">
        <v>4</v>
      </c>
      <c r="I89">
        <v>4</v>
      </c>
      <c r="J89">
        <v>2518</v>
      </c>
      <c r="K89">
        <v>2106</v>
      </c>
      <c r="L89">
        <v>1928</v>
      </c>
      <c r="M89">
        <v>10268</v>
      </c>
      <c r="N89" t="str">
        <f>IF(India_Menu[[#This Row],[Sodium]]&lt;=2000,"aceitavel","nao aceitavel")</f>
        <v>nao aceitavel</v>
      </c>
    </row>
    <row r="90" spans="1:14">
      <c r="A90" t="s">
        <v>113</v>
      </c>
      <c r="B90" t="s">
        <v>177</v>
      </c>
      <c r="C90" t="s">
        <v>176</v>
      </c>
      <c r="D90">
        <v>10385</v>
      </c>
      <c r="E90">
        <v>16</v>
      </c>
      <c r="F90">
        <v>4</v>
      </c>
      <c r="G90">
        <v>4</v>
      </c>
      <c r="H90">
        <v>4</v>
      </c>
      <c r="I90">
        <v>4</v>
      </c>
      <c r="J90">
        <v>2556</v>
      </c>
      <c r="K90">
        <v>2125</v>
      </c>
      <c r="L90">
        <v>2052</v>
      </c>
      <c r="M90">
        <v>2382</v>
      </c>
      <c r="N90" t="str">
        <f>IF(India_Menu[[#This Row],[Sodium]]&lt;=2000,"aceitavel","nao aceitavel")</f>
        <v>nao aceitavel</v>
      </c>
    </row>
    <row r="91" spans="1:14">
      <c r="A91" t="s">
        <v>113</v>
      </c>
      <c r="B91" t="s">
        <v>178</v>
      </c>
      <c r="C91" t="s">
        <v>176</v>
      </c>
      <c r="D91">
        <v>12821</v>
      </c>
      <c r="E91">
        <v>7</v>
      </c>
      <c r="F91">
        <v>8</v>
      </c>
      <c r="G91">
        <v>0</v>
      </c>
      <c r="H91">
        <v>0</v>
      </c>
      <c r="I91">
        <v>0</v>
      </c>
      <c r="J91">
        <v>3172</v>
      </c>
      <c r="K91">
        <v>2872</v>
      </c>
      <c r="L91">
        <v>2808</v>
      </c>
      <c r="M91">
        <v>662</v>
      </c>
      <c r="N91" t="str">
        <f>IF(India_Menu[[#This Row],[Sodium]]&lt;=2000,"aceitavel","nao aceitavel")</f>
        <v>aceitavel</v>
      </c>
    </row>
    <row r="92" spans="1:14">
      <c r="A92" t="s">
        <v>113</v>
      </c>
      <c r="B92" t="s">
        <v>179</v>
      </c>
      <c r="C92" t="s">
        <v>123</v>
      </c>
      <c r="D92">
        <v>15085</v>
      </c>
      <c r="E92">
        <v>359</v>
      </c>
      <c r="F92">
        <v>357</v>
      </c>
      <c r="G92">
        <v>262</v>
      </c>
      <c r="H92">
        <v>13</v>
      </c>
      <c r="I92">
        <v>976</v>
      </c>
      <c r="J92">
        <v>2601</v>
      </c>
      <c r="K92">
        <v>2158</v>
      </c>
      <c r="L92">
        <v>140</v>
      </c>
      <c r="M92">
        <v>6275</v>
      </c>
      <c r="N92" t="str">
        <f>IF(India_Menu[[#This Row],[Sodium]]&lt;=2000,"aceitavel","nao aceitavel")</f>
        <v>nao aceitavel</v>
      </c>
    </row>
    <row r="93" spans="1:14">
      <c r="A93" t="s">
        <v>113</v>
      </c>
      <c r="B93" t="s">
        <v>180</v>
      </c>
      <c r="C93" t="s">
        <v>181</v>
      </c>
      <c r="D93">
        <v>39819</v>
      </c>
      <c r="E93">
        <v>567</v>
      </c>
      <c r="F93">
        <v>1277</v>
      </c>
      <c r="G93">
        <v>1138</v>
      </c>
      <c r="H93">
        <v>2</v>
      </c>
      <c r="I93">
        <v>1089</v>
      </c>
      <c r="J93">
        <v>6475</v>
      </c>
      <c r="K93">
        <v>534</v>
      </c>
      <c r="L93">
        <v>3435</v>
      </c>
      <c r="M93">
        <v>18573</v>
      </c>
      <c r="N93" t="str">
        <f>IF(India_Menu[[#This Row],[Sodium]]&lt;=2000,"aceitavel","nao aceitavel")</f>
        <v>nao aceitavel</v>
      </c>
    </row>
    <row r="94" spans="1:14">
      <c r="A94" t="s">
        <v>113</v>
      </c>
      <c r="B94" t="s">
        <v>182</v>
      </c>
      <c r="C94" t="s">
        <v>183</v>
      </c>
      <c r="D94">
        <v>8573</v>
      </c>
      <c r="E94">
        <v>199</v>
      </c>
      <c r="F94">
        <v>182</v>
      </c>
      <c r="G94">
        <v>131</v>
      </c>
      <c r="H94">
        <v>5</v>
      </c>
      <c r="I94">
        <v>475</v>
      </c>
      <c r="J94">
        <v>1523</v>
      </c>
      <c r="K94">
        <v>1068</v>
      </c>
      <c r="L94">
        <v>699</v>
      </c>
      <c r="M94">
        <v>4078</v>
      </c>
      <c r="N94" t="str">
        <f>IF(India_Menu[[#This Row],[Sodium]]&lt;=2000,"aceitavel","nao aceitavel")</f>
        <v>nao aceitavel</v>
      </c>
    </row>
    <row r="95" spans="1:14">
      <c r="A95" t="s">
        <v>113</v>
      </c>
      <c r="B95" t="s">
        <v>184</v>
      </c>
      <c r="C95" t="s">
        <v>185</v>
      </c>
      <c r="D95">
        <v>16014</v>
      </c>
      <c r="E95">
        <v>271</v>
      </c>
      <c r="F95">
        <v>714</v>
      </c>
      <c r="G95">
        <v>525</v>
      </c>
      <c r="H95">
        <v>7</v>
      </c>
      <c r="I95">
        <v>571</v>
      </c>
      <c r="J95">
        <v>2092</v>
      </c>
      <c r="K95">
        <v>1539</v>
      </c>
      <c r="L95">
        <v>1131</v>
      </c>
      <c r="M95">
        <v>5131</v>
      </c>
      <c r="N95" t="str">
        <f>IF(India_Menu[[#This Row],[Sodium]]&lt;=2000,"aceitavel","nao aceitavel")</f>
        <v>nao aceitavel</v>
      </c>
    </row>
    <row r="96" spans="1:14">
      <c r="A96" t="s">
        <v>113</v>
      </c>
      <c r="B96" t="s">
        <v>186</v>
      </c>
      <c r="C96" t="s">
        <v>187</v>
      </c>
      <c r="D96">
        <v>12164</v>
      </c>
      <c r="E96">
        <v>225</v>
      </c>
      <c r="F96">
        <v>402</v>
      </c>
      <c r="G96">
        <v>301</v>
      </c>
      <c r="H96">
        <v>8</v>
      </c>
      <c r="I96">
        <v>585</v>
      </c>
      <c r="J96">
        <v>1911</v>
      </c>
      <c r="K96">
        <v>1707</v>
      </c>
      <c r="L96">
        <v>1078</v>
      </c>
      <c r="M96">
        <v>6556</v>
      </c>
      <c r="N96" t="str">
        <f>IF(India_Menu[[#This Row],[Sodium]]&lt;=2000,"aceitavel","nao aceitavel")</f>
        <v>nao aceitavel</v>
      </c>
    </row>
    <row r="97" spans="1:14">
      <c r="A97" t="s">
        <v>113</v>
      </c>
      <c r="B97" t="s">
        <v>188</v>
      </c>
      <c r="C97" t="s">
        <v>189</v>
      </c>
      <c r="D97">
        <v>19745</v>
      </c>
      <c r="E97">
        <v>349</v>
      </c>
      <c r="F97">
        <v>687</v>
      </c>
      <c r="G97">
        <v>516</v>
      </c>
      <c r="H97">
        <v>13</v>
      </c>
      <c r="I97">
        <v>855</v>
      </c>
      <c r="J97">
        <v>3042</v>
      </c>
      <c r="K97">
        <v>2701</v>
      </c>
      <c r="L97">
        <v>169</v>
      </c>
      <c r="M97">
        <v>11039</v>
      </c>
      <c r="N97" t="str">
        <f>IF(India_Menu[[#This Row],[Sodium]]&lt;=2000,"aceitavel","nao aceitavel")</f>
        <v>nao aceitavel</v>
      </c>
    </row>
    <row r="98" spans="1:14">
      <c r="A98" t="s">
        <v>113</v>
      </c>
      <c r="B98" t="s">
        <v>190</v>
      </c>
      <c r="C98" t="s">
        <v>187</v>
      </c>
      <c r="D98">
        <v>10099</v>
      </c>
      <c r="E98">
        <v>154</v>
      </c>
      <c r="F98">
        <v>177</v>
      </c>
      <c r="G98">
        <v>13</v>
      </c>
      <c r="H98">
        <v>6</v>
      </c>
      <c r="I98">
        <v>485</v>
      </c>
      <c r="J98">
        <v>1978</v>
      </c>
      <c r="K98">
        <v>1766</v>
      </c>
      <c r="L98">
        <v>1249</v>
      </c>
      <c r="M98">
        <v>3451</v>
      </c>
      <c r="N98" t="str">
        <f>IF(India_Menu[[#This Row],[Sodium]]&lt;=2000,"aceitavel","nao aceitavel")</f>
        <v>nao aceitavel</v>
      </c>
    </row>
    <row r="99" spans="1:14">
      <c r="A99" t="s">
        <v>113</v>
      </c>
      <c r="B99" t="s">
        <v>191</v>
      </c>
      <c r="C99" t="s">
        <v>189</v>
      </c>
      <c r="D99">
        <v>15614</v>
      </c>
      <c r="E99">
        <v>205</v>
      </c>
      <c r="F99">
        <v>236</v>
      </c>
      <c r="G99">
        <v>174</v>
      </c>
      <c r="H99">
        <v>1</v>
      </c>
      <c r="I99">
        <v>655</v>
      </c>
      <c r="J99">
        <v>3177</v>
      </c>
      <c r="K99">
        <v>282</v>
      </c>
      <c r="L99">
        <v>2032</v>
      </c>
      <c r="M99">
        <v>4828</v>
      </c>
      <c r="N99" t="str">
        <f>IF(India_Menu[[#This Row],[Sodium]]&lt;=2000,"aceitavel","nao aceitavel")</f>
        <v>nao aceitavel</v>
      </c>
    </row>
    <row r="100" spans="1:14">
      <c r="A100" t="s">
        <v>113</v>
      </c>
      <c r="B100" t="s">
        <v>192</v>
      </c>
      <c r="C100" t="s">
        <v>193</v>
      </c>
      <c r="D100">
        <v>20526</v>
      </c>
      <c r="E100">
        <v>32</v>
      </c>
      <c r="F100">
        <v>545</v>
      </c>
      <c r="G100">
        <v>365</v>
      </c>
      <c r="H100">
        <v>1</v>
      </c>
      <c r="I100">
        <v>604</v>
      </c>
      <c r="J100">
        <v>3526</v>
      </c>
      <c r="K100">
        <v>2075</v>
      </c>
      <c r="L100">
        <v>1439</v>
      </c>
      <c r="M100">
        <v>10089</v>
      </c>
      <c r="N100" t="str">
        <f>IF(India_Menu[[#This Row],[Sodium]]&lt;=2000,"aceitavel","nao aceitavel")</f>
        <v>nao aceitavel</v>
      </c>
    </row>
    <row r="101" spans="1:14">
      <c r="A101" t="s">
        <v>113</v>
      </c>
      <c r="B101" t="s">
        <v>194</v>
      </c>
      <c r="C101" t="s">
        <v>195</v>
      </c>
      <c r="D101">
        <v>31139</v>
      </c>
      <c r="E101">
        <v>465</v>
      </c>
      <c r="F101">
        <v>746</v>
      </c>
      <c r="G101">
        <v>471</v>
      </c>
      <c r="H101">
        <v>13</v>
      </c>
      <c r="I101">
        <v>778</v>
      </c>
      <c r="J101">
        <v>5524</v>
      </c>
      <c r="K101">
        <v>2794</v>
      </c>
      <c r="L101">
        <v>2028</v>
      </c>
      <c r="M101">
        <v>1464</v>
      </c>
      <c r="N101" t="str">
        <f>IF(India_Menu[[#This Row],[Sodium]]&lt;=2000,"aceitavel","nao aceitavel")</f>
        <v>aceitavel</v>
      </c>
    </row>
    <row r="102" spans="1:14">
      <c r="A102" t="s">
        <v>113</v>
      </c>
      <c r="B102" t="s">
        <v>196</v>
      </c>
      <c r="C102" t="s">
        <v>197</v>
      </c>
      <c r="D102">
        <v>23789</v>
      </c>
      <c r="E102">
        <v>322</v>
      </c>
      <c r="F102">
        <v>547</v>
      </c>
      <c r="G102">
        <v>366</v>
      </c>
      <c r="H102">
        <v>11</v>
      </c>
      <c r="I102">
        <v>619</v>
      </c>
      <c r="J102">
        <v>4342</v>
      </c>
      <c r="K102">
        <v>2779</v>
      </c>
      <c r="L102">
        <v>1994</v>
      </c>
      <c r="M102">
        <v>10447</v>
      </c>
      <c r="N102" t="str">
        <f>IF(India_Menu[[#This Row],[Sodium]]&lt;=2000,"aceitavel","nao aceitavel")</f>
        <v>nao aceitavel</v>
      </c>
    </row>
    <row r="103" spans="1:14">
      <c r="A103" t="s">
        <v>113</v>
      </c>
      <c r="B103" t="s">
        <v>198</v>
      </c>
      <c r="C103" t="s">
        <v>199</v>
      </c>
      <c r="D103">
        <v>42995</v>
      </c>
      <c r="E103">
        <v>542</v>
      </c>
      <c r="F103">
        <v>976</v>
      </c>
      <c r="G103">
        <v>647</v>
      </c>
      <c r="H103">
        <v>19</v>
      </c>
      <c r="I103">
        <v>923</v>
      </c>
      <c r="J103">
        <v>7904</v>
      </c>
      <c r="K103">
        <v>4845</v>
      </c>
      <c r="L103">
        <v>3522</v>
      </c>
      <c r="M103">
        <v>1882</v>
      </c>
      <c r="N103" t="str">
        <f>IF(India_Menu[[#This Row],[Sodium]]&lt;=2000,"aceitavel","nao aceitavel")</f>
        <v>aceitavel</v>
      </c>
    </row>
    <row r="104" spans="1:14">
      <c r="A104" t="s">
        <v>200</v>
      </c>
      <c r="B104" t="s">
        <v>201</v>
      </c>
      <c r="C104" t="s">
        <v>202</v>
      </c>
      <c r="D104">
        <v>11636</v>
      </c>
      <c r="E104">
        <v>205</v>
      </c>
      <c r="F104">
        <v>37</v>
      </c>
      <c r="G104">
        <v>225</v>
      </c>
      <c r="H104">
        <v>7</v>
      </c>
      <c r="I104">
        <v>48</v>
      </c>
      <c r="J104">
        <v>1869</v>
      </c>
      <c r="K104">
        <v>1449</v>
      </c>
      <c r="L104">
        <v>108</v>
      </c>
      <c r="M104">
        <v>8073</v>
      </c>
      <c r="N104" t="str">
        <f>IF(India_Menu[[#This Row],[Sodium]]&lt;=2000,"aceitavel","nao aceitavel")</f>
        <v>nao aceitavel</v>
      </c>
    </row>
    <row r="105" spans="1:14">
      <c r="A105" t="s">
        <v>200</v>
      </c>
      <c r="B105" t="s">
        <v>203</v>
      </c>
      <c r="C105" t="s">
        <v>204</v>
      </c>
      <c r="D105">
        <v>20939</v>
      </c>
      <c r="E105">
        <v>358</v>
      </c>
      <c r="F105">
        <v>681</v>
      </c>
      <c r="G105">
        <v>407</v>
      </c>
      <c r="H105">
        <v>12</v>
      </c>
      <c r="I105">
        <v>80</v>
      </c>
      <c r="J105">
        <v>3342</v>
      </c>
      <c r="K105">
        <v>2535</v>
      </c>
      <c r="L105">
        <v>1923</v>
      </c>
      <c r="M105">
        <v>1509</v>
      </c>
      <c r="N105" t="str">
        <f>IF(India_Menu[[#This Row],[Sodium]]&lt;=2000,"aceitavel","nao aceitavel")</f>
        <v>aceitavel</v>
      </c>
    </row>
    <row r="106" spans="1:14">
      <c r="A106" t="s">
        <v>205</v>
      </c>
      <c r="B106" t="s">
        <v>206</v>
      </c>
      <c r="C106" t="s">
        <v>207</v>
      </c>
      <c r="D106">
        <v>45794</v>
      </c>
      <c r="E106">
        <v>2443</v>
      </c>
      <c r="F106">
        <v>2265</v>
      </c>
      <c r="G106">
        <v>1156</v>
      </c>
      <c r="H106">
        <v>17</v>
      </c>
      <c r="I106">
        <v>7123</v>
      </c>
      <c r="J106">
        <v>3745</v>
      </c>
      <c r="K106">
        <v>764</v>
      </c>
      <c r="L106">
        <v>384</v>
      </c>
      <c r="M106">
        <v>139617</v>
      </c>
      <c r="N106" t="str">
        <f>IF(India_Menu[[#This Row],[Sodium]]&lt;=2000,"aceitavel","nao aceitavel")</f>
        <v>nao aceitavel</v>
      </c>
    </row>
    <row r="107" spans="1:14">
      <c r="A107" t="s">
        <v>205</v>
      </c>
      <c r="B107" t="s">
        <v>208</v>
      </c>
      <c r="C107" t="s">
        <v>209</v>
      </c>
      <c r="D107">
        <v>52469</v>
      </c>
      <c r="E107">
        <v>1954</v>
      </c>
      <c r="F107">
        <v>2316</v>
      </c>
      <c r="G107">
        <v>1478</v>
      </c>
      <c r="H107">
        <v>19</v>
      </c>
      <c r="I107">
        <v>4874</v>
      </c>
      <c r="J107">
        <v>5624</v>
      </c>
      <c r="K107">
        <v>79</v>
      </c>
      <c r="L107">
        <v>384</v>
      </c>
      <c r="M107">
        <v>117427</v>
      </c>
      <c r="N107" t="str">
        <f>IF(India_Menu[[#This Row],[Sodium]]&lt;=2000,"aceitavel","nao aceitavel")</f>
        <v>nao aceitavel</v>
      </c>
    </row>
    <row r="108" spans="1:14">
      <c r="A108" t="s">
        <v>205</v>
      </c>
      <c r="B108" t="s">
        <v>210</v>
      </c>
      <c r="C108" t="s">
        <v>211</v>
      </c>
      <c r="D108">
        <v>67106</v>
      </c>
      <c r="E108">
        <v>1499</v>
      </c>
      <c r="F108">
        <v>3348</v>
      </c>
      <c r="G108">
        <v>1412</v>
      </c>
      <c r="H108">
        <v>21</v>
      </c>
      <c r="I108">
        <v>3321</v>
      </c>
      <c r="J108">
        <v>7425</v>
      </c>
      <c r="K108">
        <v>1627</v>
      </c>
      <c r="L108">
        <v>1001</v>
      </c>
      <c r="M108">
        <v>115399</v>
      </c>
      <c r="N108" t="str">
        <f>IF(India_Menu[[#This Row],[Sodium]]&lt;=2000,"aceitavel","nao aceitavel")</f>
        <v>nao aceitavel</v>
      </c>
    </row>
    <row r="109" spans="1:14">
      <c r="A109" t="s">
        <v>205</v>
      </c>
      <c r="B109" t="s">
        <v>212</v>
      </c>
      <c r="C109" t="s">
        <v>213</v>
      </c>
      <c r="D109">
        <v>83436</v>
      </c>
      <c r="E109">
        <v>2737</v>
      </c>
      <c r="F109">
        <v>4518</v>
      </c>
      <c r="G109">
        <v>170</v>
      </c>
      <c r="H109">
        <v>27</v>
      </c>
      <c r="I109">
        <v>7311</v>
      </c>
      <c r="J109">
        <v>7603</v>
      </c>
      <c r="K109">
        <v>1675</v>
      </c>
      <c r="L109">
        <v>1001</v>
      </c>
      <c r="M109">
        <v>174504</v>
      </c>
      <c r="N109" t="str">
        <f>IF(India_Menu[[#This Row],[Sodium]]&lt;=2000,"aceitavel","nao aceitavel")</f>
        <v>nao aceitavel</v>
      </c>
    </row>
    <row r="110" spans="1:14">
      <c r="A110" t="s">
        <v>205</v>
      </c>
      <c r="B110" t="s">
        <v>214</v>
      </c>
      <c r="C110" t="s">
        <v>215</v>
      </c>
      <c r="D110">
        <v>64136</v>
      </c>
      <c r="E110">
        <v>3947</v>
      </c>
      <c r="F110">
        <v>3151</v>
      </c>
      <c r="G110">
        <v>954</v>
      </c>
      <c r="H110">
        <v>26</v>
      </c>
      <c r="I110">
        <v>11037</v>
      </c>
      <c r="J110">
        <v>4624</v>
      </c>
      <c r="K110">
        <v>916</v>
      </c>
      <c r="L110">
        <v>632</v>
      </c>
      <c r="M110">
        <v>190627</v>
      </c>
      <c r="N110" t="str">
        <f>IF(India_Menu[[#This Row],[Sodium]]&lt;=2000,"aceitavel","nao aceitavel")</f>
        <v>nao aceitavel</v>
      </c>
    </row>
    <row r="111" spans="1:14">
      <c r="A111" t="s">
        <v>205</v>
      </c>
      <c r="B111" t="s">
        <v>216</v>
      </c>
      <c r="C111" t="s">
        <v>217</v>
      </c>
      <c r="D111">
        <v>62225</v>
      </c>
      <c r="E111">
        <v>3149</v>
      </c>
      <c r="F111">
        <v>3465</v>
      </c>
      <c r="G111">
        <v>1555</v>
      </c>
      <c r="H111">
        <v>24</v>
      </c>
      <c r="I111">
        <v>30261</v>
      </c>
      <c r="J111">
        <v>436</v>
      </c>
      <c r="K111">
        <v>607</v>
      </c>
      <c r="L111">
        <v>264</v>
      </c>
      <c r="M111">
        <v>161488</v>
      </c>
      <c r="N111" t="str">
        <f>IF(India_Menu[[#This Row],[Sodium]]&lt;=2000,"aceitavel","nao aceitavel")</f>
        <v>nao aceitavel</v>
      </c>
    </row>
    <row r="112" spans="1:14">
      <c r="A112" t="s">
        <v>205</v>
      </c>
      <c r="B112" t="s">
        <v>218</v>
      </c>
      <c r="C112" t="s">
        <v>219</v>
      </c>
      <c r="D112">
        <v>63471</v>
      </c>
      <c r="E112">
        <v>2244</v>
      </c>
      <c r="F112">
        <v>3921</v>
      </c>
      <c r="G112">
        <v>2046</v>
      </c>
      <c r="H112">
        <v>2</v>
      </c>
      <c r="I112">
        <v>4368</v>
      </c>
      <c r="J112">
        <v>460</v>
      </c>
      <c r="K112">
        <v>757</v>
      </c>
      <c r="L112">
        <v>328</v>
      </c>
      <c r="M112">
        <v>144687</v>
      </c>
      <c r="N112" t="str">
        <f>IF(India_Menu[[#This Row],[Sodium]]&lt;=2000,"aceitavel","nao aceitavel")</f>
        <v>nao aceitavel</v>
      </c>
    </row>
    <row r="113" spans="1:14">
      <c r="A113" t="s">
        <v>205</v>
      </c>
      <c r="B113" t="s">
        <v>220</v>
      </c>
      <c r="C113" t="s">
        <v>221</v>
      </c>
      <c r="D113">
        <v>51798</v>
      </c>
      <c r="E113">
        <v>1197</v>
      </c>
      <c r="F113">
        <v>2453</v>
      </c>
      <c r="G113">
        <v>601</v>
      </c>
      <c r="H113">
        <v>18</v>
      </c>
      <c r="I113">
        <v>81</v>
      </c>
      <c r="J113">
        <v>5887</v>
      </c>
      <c r="K113">
        <v>1287</v>
      </c>
      <c r="L113">
        <v>667</v>
      </c>
      <c r="M113">
        <v>117089</v>
      </c>
      <c r="N113" t="str">
        <f>IF(India_Menu[[#This Row],[Sodium]]&lt;=2000,"aceitavel","nao aceitavel")</f>
        <v>nao aceitavel</v>
      </c>
    </row>
    <row r="114" spans="1:14">
      <c r="A114" t="s">
        <v>205</v>
      </c>
      <c r="B114" t="s">
        <v>222</v>
      </c>
      <c r="C114" t="s">
        <v>223</v>
      </c>
      <c r="D114">
        <v>25229</v>
      </c>
      <c r="E114">
        <v>848</v>
      </c>
      <c r="F114">
        <v>1309</v>
      </c>
      <c r="G114">
        <v>753</v>
      </c>
      <c r="H114">
        <v>9</v>
      </c>
      <c r="I114">
        <v>2003</v>
      </c>
      <c r="J114">
        <v>236</v>
      </c>
      <c r="K114">
        <v>131</v>
      </c>
      <c r="L114">
        <v>0</v>
      </c>
      <c r="M114">
        <v>42817</v>
      </c>
      <c r="N114" t="str">
        <f>IF(India_Menu[[#This Row],[Sodium]]&lt;=2000,"aceitavel","nao aceitavel")</f>
        <v>nao aceitavel</v>
      </c>
    </row>
    <row r="115" spans="1:14">
      <c r="A115" t="s">
        <v>205</v>
      </c>
      <c r="B115" t="s">
        <v>224</v>
      </c>
      <c r="C115" t="s">
        <v>225</v>
      </c>
      <c r="D115">
        <v>37843</v>
      </c>
      <c r="E115">
        <v>1272</v>
      </c>
      <c r="F115">
        <v>1963</v>
      </c>
      <c r="G115">
        <v>113</v>
      </c>
      <c r="H115">
        <v>14</v>
      </c>
      <c r="I115">
        <v>3005</v>
      </c>
      <c r="J115">
        <v>354</v>
      </c>
      <c r="K115">
        <v>196</v>
      </c>
      <c r="L115">
        <v>0</v>
      </c>
      <c r="M115">
        <v>64225</v>
      </c>
      <c r="N115" t="str">
        <f>IF(India_Menu[[#This Row],[Sodium]]&lt;=2000,"aceitavel","nao aceitavel")</f>
        <v>nao aceitavel</v>
      </c>
    </row>
    <row r="116" spans="1:14">
      <c r="A116" t="s">
        <v>226</v>
      </c>
      <c r="B116" t="s">
        <v>227</v>
      </c>
      <c r="C116" t="s">
        <v>228</v>
      </c>
      <c r="D116">
        <v>10956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2739</v>
      </c>
      <c r="K116">
        <v>2739</v>
      </c>
      <c r="L116">
        <v>2739</v>
      </c>
      <c r="M116">
        <v>2117</v>
      </c>
      <c r="N116" t="str">
        <f>IF(India_Menu[[#This Row],[Sodium]]&lt;=2000,"aceitavel","nao aceitavel")</f>
        <v>nao aceitavel</v>
      </c>
    </row>
    <row r="117" spans="1:14">
      <c r="A117" t="s">
        <v>226</v>
      </c>
      <c r="B117" t="s">
        <v>229</v>
      </c>
      <c r="C117" t="s">
        <v>230</v>
      </c>
      <c r="D117">
        <v>15136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3784</v>
      </c>
      <c r="K117">
        <v>3784</v>
      </c>
      <c r="L117">
        <v>3784</v>
      </c>
      <c r="M117">
        <v>2924</v>
      </c>
      <c r="N117" t="str">
        <f>IF(India_Menu[[#This Row],[Sodium]]&lt;=2000,"aceitavel","nao aceitavel")</f>
        <v>nao aceitavel</v>
      </c>
    </row>
    <row r="118" spans="1:14">
      <c r="A118" t="s">
        <v>226</v>
      </c>
      <c r="B118" t="s">
        <v>231</v>
      </c>
      <c r="C118" t="s">
        <v>232</v>
      </c>
      <c r="D118">
        <v>21736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5434</v>
      </c>
      <c r="K118">
        <v>5434</v>
      </c>
      <c r="L118">
        <v>5434</v>
      </c>
      <c r="M118">
        <v>4199</v>
      </c>
      <c r="N118" t="str">
        <f>IF(India_Menu[[#This Row],[Sodium]]&lt;=2000,"aceitavel","nao aceitavel")</f>
        <v>nao aceitavel</v>
      </c>
    </row>
    <row r="119" spans="1:14">
      <c r="A119" t="s">
        <v>226</v>
      </c>
      <c r="B119" t="s">
        <v>233</v>
      </c>
      <c r="C119" t="s">
        <v>228</v>
      </c>
      <c r="D119">
        <v>12948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3237</v>
      </c>
      <c r="K119">
        <v>3237</v>
      </c>
      <c r="L119">
        <v>3237</v>
      </c>
      <c r="M119">
        <v>5553</v>
      </c>
      <c r="N119" t="str">
        <f>IF(India_Menu[[#This Row],[Sodium]]&lt;=2000,"aceitavel","nao aceitavel")</f>
        <v>nao aceitavel</v>
      </c>
    </row>
    <row r="120" spans="1:14">
      <c r="A120" t="s">
        <v>226</v>
      </c>
      <c r="B120" t="s">
        <v>234</v>
      </c>
      <c r="C120" t="s">
        <v>230</v>
      </c>
      <c r="D120">
        <v>17888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4472</v>
      </c>
      <c r="K120">
        <v>4472</v>
      </c>
      <c r="L120">
        <v>4472</v>
      </c>
      <c r="M120">
        <v>7671</v>
      </c>
      <c r="N120" t="str">
        <f>IF(India_Menu[[#This Row],[Sodium]]&lt;=2000,"aceitavel","nao aceitavel")</f>
        <v>nao aceitavel</v>
      </c>
    </row>
    <row r="121" spans="1:14">
      <c r="A121" t="s">
        <v>226</v>
      </c>
      <c r="B121" t="s">
        <v>235</v>
      </c>
      <c r="C121" t="s">
        <v>232</v>
      </c>
      <c r="D121">
        <v>25688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6422</v>
      </c>
      <c r="K121">
        <v>6422</v>
      </c>
      <c r="L121">
        <v>6422</v>
      </c>
      <c r="M121">
        <v>11016</v>
      </c>
      <c r="N121" t="str">
        <f>IF(India_Menu[[#This Row],[Sodium]]&lt;=2000,"aceitavel","nao aceitavel")</f>
        <v>nao aceitavel</v>
      </c>
    </row>
    <row r="122" spans="1:14">
      <c r="A122" t="s">
        <v>226</v>
      </c>
      <c r="B122" t="s">
        <v>236</v>
      </c>
      <c r="C122" t="s">
        <v>228</v>
      </c>
      <c r="D122">
        <v>996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249</v>
      </c>
      <c r="K122">
        <v>249</v>
      </c>
      <c r="L122">
        <v>249</v>
      </c>
      <c r="M122">
        <v>2515</v>
      </c>
      <c r="N122" t="str">
        <f>IF(India_Menu[[#This Row],[Sodium]]&lt;=2000,"aceitavel","nao aceitavel")</f>
        <v>nao aceitavel</v>
      </c>
    </row>
    <row r="123" spans="1:14">
      <c r="A123" t="s">
        <v>226</v>
      </c>
      <c r="B123" t="s">
        <v>237</v>
      </c>
      <c r="C123" t="s">
        <v>230</v>
      </c>
      <c r="D123">
        <v>1376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344</v>
      </c>
      <c r="K123">
        <v>344</v>
      </c>
      <c r="L123">
        <v>344</v>
      </c>
      <c r="M123">
        <v>3474</v>
      </c>
      <c r="N123" t="str">
        <f>IF(India_Menu[[#This Row],[Sodium]]&lt;=2000,"aceitavel","nao aceitavel")</f>
        <v>nao aceitavel</v>
      </c>
    </row>
    <row r="124" spans="1:14">
      <c r="A124" t="s">
        <v>226</v>
      </c>
      <c r="B124" t="s">
        <v>238</v>
      </c>
      <c r="C124" t="s">
        <v>232</v>
      </c>
      <c r="D124">
        <v>1976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494</v>
      </c>
      <c r="K124">
        <v>494</v>
      </c>
      <c r="L124">
        <v>494</v>
      </c>
      <c r="M124">
        <v>4989</v>
      </c>
      <c r="N124" t="str">
        <f>IF(India_Menu[[#This Row],[Sodium]]&lt;=2000,"aceitavel","nao aceitavel")</f>
        <v>nao aceitavel</v>
      </c>
    </row>
    <row r="125" spans="1:14">
      <c r="A125" t="s">
        <v>226</v>
      </c>
      <c r="B125" t="s">
        <v>239</v>
      </c>
      <c r="C125" t="s">
        <v>228</v>
      </c>
      <c r="D125">
        <v>11952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2988</v>
      </c>
      <c r="K125">
        <v>2988</v>
      </c>
      <c r="L125">
        <v>2988</v>
      </c>
      <c r="M125">
        <v>202</v>
      </c>
      <c r="N125" t="str">
        <f>IF(India_Menu[[#This Row],[Sodium]]&lt;=2000,"aceitavel","nao aceitavel")</f>
        <v>aceitavel</v>
      </c>
    </row>
    <row r="126" spans="1:14">
      <c r="A126" t="s">
        <v>226</v>
      </c>
      <c r="B126" t="s">
        <v>240</v>
      </c>
      <c r="C126" t="s">
        <v>230</v>
      </c>
      <c r="D126">
        <v>16512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4128</v>
      </c>
      <c r="K126">
        <v>4128</v>
      </c>
      <c r="L126">
        <v>4128</v>
      </c>
      <c r="M126">
        <v>279</v>
      </c>
      <c r="N126" t="str">
        <f>IF(India_Menu[[#This Row],[Sodium]]&lt;=2000,"aceitavel","nao aceitavel")</f>
        <v>aceitavel</v>
      </c>
    </row>
    <row r="127" spans="1:14">
      <c r="A127" t="s">
        <v>226</v>
      </c>
      <c r="B127" t="s">
        <v>241</v>
      </c>
      <c r="C127" t="s">
        <v>232</v>
      </c>
      <c r="D127">
        <v>23712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5928</v>
      </c>
      <c r="K127">
        <v>5928</v>
      </c>
      <c r="L127">
        <v>5928</v>
      </c>
      <c r="M127">
        <v>40</v>
      </c>
      <c r="N127" t="str">
        <f>IF(India_Menu[[#This Row],[Sodium]]&lt;=2000,"aceitavel","nao aceitavel")</f>
        <v>aceitavel</v>
      </c>
    </row>
    <row r="128" spans="1:14">
      <c r="A128" t="s">
        <v>226</v>
      </c>
      <c r="B128" t="s">
        <v>242</v>
      </c>
      <c r="C128" t="s">
        <v>243</v>
      </c>
      <c r="D128">
        <v>13876</v>
      </c>
      <c r="E128">
        <v>152</v>
      </c>
      <c r="F128">
        <v>175</v>
      </c>
      <c r="G128">
        <v>128</v>
      </c>
      <c r="H128">
        <v>5</v>
      </c>
      <c r="I128">
        <v>47</v>
      </c>
      <c r="J128">
        <v>2922</v>
      </c>
      <c r="K128">
        <v>2823</v>
      </c>
      <c r="L128">
        <v>2454</v>
      </c>
      <c r="M128">
        <v>4453</v>
      </c>
      <c r="N128" t="str">
        <f>IF(India_Menu[[#This Row],[Sodium]]&lt;=2000,"aceitavel","nao aceitavel")</f>
        <v>nao aceitavel</v>
      </c>
    </row>
    <row r="129" spans="1:14">
      <c r="A129" t="s">
        <v>226</v>
      </c>
      <c r="B129" t="s">
        <v>244</v>
      </c>
      <c r="C129" t="s">
        <v>243</v>
      </c>
      <c r="D129">
        <v>15156</v>
      </c>
      <c r="E129">
        <v>152</v>
      </c>
      <c r="F129">
        <v>175</v>
      </c>
      <c r="G129">
        <v>128</v>
      </c>
      <c r="H129">
        <v>5</v>
      </c>
      <c r="I129">
        <v>47</v>
      </c>
      <c r="J129">
        <v>3242</v>
      </c>
      <c r="K129">
        <v>3143</v>
      </c>
      <c r="L129">
        <v>2774</v>
      </c>
      <c r="M129">
        <v>6661</v>
      </c>
      <c r="N129" t="str">
        <f>IF(India_Menu[[#This Row],[Sodium]]&lt;=2000,"aceitavel","nao aceitavel")</f>
        <v>nao aceitavel</v>
      </c>
    </row>
    <row r="130" spans="1:14">
      <c r="A130" t="s">
        <v>226</v>
      </c>
      <c r="B130" t="s">
        <v>245</v>
      </c>
      <c r="C130" t="s">
        <v>243</v>
      </c>
      <c r="D130">
        <v>14516</v>
      </c>
      <c r="E130">
        <v>152</v>
      </c>
      <c r="F130">
        <v>175</v>
      </c>
      <c r="G130">
        <v>128</v>
      </c>
      <c r="H130">
        <v>5</v>
      </c>
      <c r="I130">
        <v>47</v>
      </c>
      <c r="J130">
        <v>3082</v>
      </c>
      <c r="K130">
        <v>2983</v>
      </c>
      <c r="L130">
        <v>2614</v>
      </c>
      <c r="M130">
        <v>4709</v>
      </c>
      <c r="N130" t="str">
        <f>IF(India_Menu[[#This Row],[Sodium]]&lt;=2000,"aceitavel","nao aceitavel")</f>
        <v>nao aceitavel</v>
      </c>
    </row>
    <row r="131" spans="1:14">
      <c r="A131" t="s">
        <v>226</v>
      </c>
      <c r="B131" t="s">
        <v>246</v>
      </c>
      <c r="C131" t="s">
        <v>148</v>
      </c>
      <c r="D131">
        <v>99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2475</v>
      </c>
      <c r="N131" t="str">
        <f>IF(India_Menu[[#This Row],[Sodium]]&lt;=2000,"aceitavel","nao aceitavel")</f>
        <v>nao aceitavel</v>
      </c>
    </row>
    <row r="132" spans="1:14">
      <c r="A132" t="s">
        <v>226</v>
      </c>
      <c r="B132" t="s">
        <v>247</v>
      </c>
      <c r="C132" t="s">
        <v>248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29</v>
      </c>
      <c r="N132" t="str">
        <f>IF(India_Menu[[#This Row],[Sodium]]&lt;=2000,"aceitavel","nao aceitavel")</f>
        <v>aceitavel</v>
      </c>
    </row>
    <row r="133" spans="1:14">
      <c r="A133" t="s">
        <v>249</v>
      </c>
      <c r="B133" t="s">
        <v>250</v>
      </c>
      <c r="C133" t="s">
        <v>251</v>
      </c>
      <c r="D133">
        <v>8118</v>
      </c>
      <c r="E133">
        <v>52</v>
      </c>
      <c r="F133">
        <v>557</v>
      </c>
      <c r="G133">
        <v>178</v>
      </c>
      <c r="H133">
        <v>47</v>
      </c>
      <c r="I133">
        <v>29</v>
      </c>
      <c r="J133">
        <v>724</v>
      </c>
      <c r="K133">
        <v>666</v>
      </c>
      <c r="L133">
        <v>40</v>
      </c>
      <c r="M133">
        <v>22132</v>
      </c>
      <c r="N133" t="str">
        <f>IF(India_Menu[[#This Row],[Sodium]]&lt;=2000,"aceitavel","nao aceitavel")</f>
        <v>nao aceitavel</v>
      </c>
    </row>
    <row r="134" spans="1:14">
      <c r="A134" t="s">
        <v>249</v>
      </c>
      <c r="B134" t="s">
        <v>252</v>
      </c>
      <c r="C134" t="s">
        <v>251</v>
      </c>
      <c r="D134">
        <v>5489</v>
      </c>
      <c r="E134">
        <v>26</v>
      </c>
      <c r="F134">
        <v>49</v>
      </c>
      <c r="G134">
        <v>15</v>
      </c>
      <c r="H134">
        <v>4</v>
      </c>
      <c r="I134">
        <v>25</v>
      </c>
      <c r="J134">
        <v>1236</v>
      </c>
      <c r="K134">
        <v>765</v>
      </c>
      <c r="L134">
        <v>25</v>
      </c>
      <c r="M134">
        <v>11323</v>
      </c>
      <c r="N134" t="str">
        <f>IF(India_Menu[[#This Row],[Sodium]]&lt;=2000,"aceitavel","nao aceitavel")</f>
        <v>nao aceitavel</v>
      </c>
    </row>
    <row r="135" spans="1:14">
      <c r="A135" t="s">
        <v>249</v>
      </c>
      <c r="B135" t="s">
        <v>253</v>
      </c>
      <c r="C135" t="s">
        <v>254</v>
      </c>
      <c r="D135">
        <v>807</v>
      </c>
      <c r="E135">
        <v>3</v>
      </c>
      <c r="F135">
        <v>1</v>
      </c>
      <c r="G135">
        <v>1</v>
      </c>
      <c r="H135">
        <v>1</v>
      </c>
      <c r="I135">
        <v>1</v>
      </c>
      <c r="J135">
        <v>199</v>
      </c>
      <c r="K135">
        <v>153</v>
      </c>
      <c r="L135">
        <v>134</v>
      </c>
      <c r="M135">
        <v>6524</v>
      </c>
      <c r="N135" t="str">
        <f>IF(India_Menu[[#This Row],[Sodium]]&lt;=2000,"aceitavel","nao aceitavel")</f>
        <v>nao aceitavel</v>
      </c>
    </row>
    <row r="136" spans="1:14">
      <c r="A136" t="s">
        <v>249</v>
      </c>
      <c r="B136" t="s">
        <v>255</v>
      </c>
      <c r="C136" t="s">
        <v>256</v>
      </c>
      <c r="D136">
        <v>1713</v>
      </c>
      <c r="E136">
        <v>51</v>
      </c>
      <c r="F136">
        <v>36</v>
      </c>
      <c r="G136">
        <v>8</v>
      </c>
      <c r="H136">
        <v>1</v>
      </c>
      <c r="I136">
        <v>5</v>
      </c>
      <c r="J136">
        <v>25</v>
      </c>
      <c r="K136">
        <v>66</v>
      </c>
      <c r="L136">
        <v>4</v>
      </c>
      <c r="M136">
        <v>41471</v>
      </c>
      <c r="N136" t="str">
        <f>IF(India_Menu[[#This Row],[Sodium]]&lt;=2000,"aceitavel","nao aceitavel")</f>
        <v>nao aceitavel</v>
      </c>
    </row>
    <row r="137" spans="1:14">
      <c r="A137" t="s">
        <v>249</v>
      </c>
      <c r="B137" t="s">
        <v>257</v>
      </c>
      <c r="C137" t="s">
        <v>258</v>
      </c>
      <c r="D137">
        <v>1123</v>
      </c>
      <c r="E137">
        <v>8</v>
      </c>
      <c r="F137">
        <v>2345</v>
      </c>
      <c r="G137">
        <v>0</v>
      </c>
      <c r="H137">
        <v>1</v>
      </c>
      <c r="I137">
        <v>8</v>
      </c>
      <c r="J137">
        <v>263</v>
      </c>
      <c r="K137">
        <v>233</v>
      </c>
      <c r="L137">
        <v>164</v>
      </c>
      <c r="M137">
        <v>7105</v>
      </c>
      <c r="N137" t="str">
        <f>IF(India_Menu[[#This Row],[Sodium]]&lt;=2000,"aceitavel","nao aceitavel")</f>
        <v>nao aceitavel</v>
      </c>
    </row>
    <row r="138" spans="1:14">
      <c r="A138" t="s">
        <v>249</v>
      </c>
      <c r="B138" t="s">
        <v>259</v>
      </c>
      <c r="C138" t="s">
        <v>260</v>
      </c>
      <c r="D138">
        <v>864</v>
      </c>
      <c r="E138">
        <v>0</v>
      </c>
      <c r="F138">
        <v>0</v>
      </c>
      <c r="G138">
        <v>0</v>
      </c>
      <c r="H138">
        <v>0</v>
      </c>
      <c r="I138">
        <v>3</v>
      </c>
      <c r="J138">
        <v>216</v>
      </c>
      <c r="K138">
        <v>162</v>
      </c>
      <c r="L138">
        <v>534</v>
      </c>
      <c r="M138">
        <v>150</v>
      </c>
      <c r="N138" t="str">
        <f>IF(India_Menu[[#This Row],[Sodium]]&lt;=2000,"aceitavel","nao aceitavel")</f>
        <v>aceitavel</v>
      </c>
    </row>
    <row r="139" spans="1:14">
      <c r="A139" t="s">
        <v>249</v>
      </c>
      <c r="B139" t="s">
        <v>261</v>
      </c>
      <c r="C139" t="s">
        <v>262</v>
      </c>
      <c r="D139">
        <v>5103</v>
      </c>
      <c r="E139">
        <v>306</v>
      </c>
      <c r="F139">
        <v>399</v>
      </c>
      <c r="G139">
        <v>289</v>
      </c>
      <c r="H139">
        <v>1</v>
      </c>
      <c r="I139">
        <v>1343</v>
      </c>
      <c r="J139">
        <v>72</v>
      </c>
      <c r="K139">
        <v>54</v>
      </c>
      <c r="L139">
        <v>0</v>
      </c>
      <c r="M139">
        <v>17895</v>
      </c>
      <c r="N139" t="str">
        <f>IF(India_Menu[[#This Row],[Sodium]]&lt;=2000,"aceitavel","nao aceitavel")</f>
        <v>nao aceitavel</v>
      </c>
    </row>
    <row r="140" spans="1:14">
      <c r="A140" t="s">
        <v>249</v>
      </c>
      <c r="B140" t="s">
        <v>263</v>
      </c>
      <c r="C140" t="s">
        <v>264</v>
      </c>
      <c r="D140">
        <v>4508</v>
      </c>
      <c r="E140">
        <v>147</v>
      </c>
      <c r="F140">
        <v>10</v>
      </c>
      <c r="G140">
        <v>22</v>
      </c>
      <c r="H140">
        <v>4</v>
      </c>
      <c r="I140">
        <v>20</v>
      </c>
      <c r="J140">
        <v>755</v>
      </c>
      <c r="K140">
        <v>254</v>
      </c>
      <c r="L140">
        <v>0</v>
      </c>
      <c r="M140">
        <v>4</v>
      </c>
      <c r="N140" t="str">
        <f>IF(India_Menu[[#This Row],[Sodium]]&lt;=2000,"aceitavel","nao aceitavel")</f>
        <v>aceitavel</v>
      </c>
    </row>
    <row r="141" spans="1:14">
      <c r="A141" t="s">
        <v>249</v>
      </c>
      <c r="B141" t="s">
        <v>265</v>
      </c>
      <c r="C141" t="s">
        <v>266</v>
      </c>
      <c r="D141">
        <v>7225</v>
      </c>
      <c r="E141">
        <v>65</v>
      </c>
      <c r="F141">
        <v>2</v>
      </c>
      <c r="G141">
        <v>2</v>
      </c>
      <c r="H141">
        <v>2</v>
      </c>
      <c r="I141">
        <v>1</v>
      </c>
      <c r="J141">
        <v>180</v>
      </c>
      <c r="K141">
        <v>1683</v>
      </c>
      <c r="L141">
        <v>0</v>
      </c>
      <c r="M141">
        <v>108</v>
      </c>
      <c r="N141" t="str">
        <f>IF(India_Menu[[#This Row],[Sodium]]&lt;=2000,"aceitavel","nao aceitavel")</f>
        <v>aceitavel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DF300D-9012-48E9-A027-FF57DB2958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Bia Leite</dc:creator>
  <cp:keywords/>
  <dc:description/>
  <cp:lastModifiedBy>ANDREA HAMAZAKI FEITOSA</cp:lastModifiedBy>
  <cp:revision/>
  <dcterms:created xsi:type="dcterms:W3CDTF">2022-08-19T19:02:12Z</dcterms:created>
  <dcterms:modified xsi:type="dcterms:W3CDTF">2025-09-28T20:07:53Z</dcterms:modified>
  <cp:category/>
  <cp:contentStatus/>
</cp:coreProperties>
</file>